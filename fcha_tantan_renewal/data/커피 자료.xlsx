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team\team-1\fcha_tantan_renewal\data\"/>
    </mc:Choice>
  </mc:AlternateContent>
  <xr:revisionPtr revIDLastSave="0" documentId="13_ncr:1_{2A614120-1B54-4B22-A4FF-AE8D4D6A90BE}" xr6:coauthVersionLast="47" xr6:coauthVersionMax="47" xr10:uidLastSave="{00000000-0000-0000-0000-000000000000}"/>
  <bookViews>
    <workbookView xWindow="1215" yWindow="-14160" windowWidth="21600" windowHeight="11295" xr2:uid="{61AA3BB3-52B6-4F0F-ACA1-74F796FB9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9" i="1" l="1"/>
  <c r="AE9" i="1"/>
  <c r="AF8" i="1"/>
  <c r="AE8" i="1"/>
  <c r="AF7" i="1"/>
  <c r="AE7" i="1"/>
  <c r="AF6" i="1"/>
  <c r="AE6" i="1"/>
  <c r="AF5" i="1"/>
  <c r="AE5" i="1"/>
  <c r="AD9" i="1"/>
  <c r="AC9" i="1"/>
  <c r="AD8" i="1"/>
  <c r="AC8" i="1"/>
  <c r="AD7" i="1"/>
  <c r="AC7" i="1"/>
  <c r="AD6" i="1"/>
  <c r="AC6" i="1"/>
  <c r="AD5" i="1"/>
  <c r="AC5" i="1"/>
</calcChain>
</file>

<file path=xl/sharedStrings.xml><?xml version="1.0" encoding="utf-8"?>
<sst xmlns="http://schemas.openxmlformats.org/spreadsheetml/2006/main" count="527" uniqueCount="207">
  <si>
    <t>메가엠지씨</t>
    <phoneticPr fontId="2" type="noConversion"/>
  </si>
  <si>
    <t>컴포즈커피</t>
    <phoneticPr fontId="2" type="noConversion"/>
  </si>
  <si>
    <t>이디야</t>
    <phoneticPr fontId="2" type="noConversion"/>
  </si>
  <si>
    <t>빽다방</t>
    <phoneticPr fontId="2" type="noConversion"/>
  </si>
  <si>
    <t>투썸플레이스</t>
    <phoneticPr fontId="2" type="noConversion"/>
  </si>
  <si>
    <t>가맹점수</t>
  </si>
  <si>
    <t>가맹점수</t>
    <phoneticPr fontId="2" type="noConversion"/>
  </si>
  <si>
    <t>신규등록</t>
    <phoneticPr fontId="2" type="noConversion"/>
  </si>
  <si>
    <t>계약종료</t>
    <phoneticPr fontId="2" type="noConversion"/>
  </si>
  <si>
    <t>계약해지</t>
    <phoneticPr fontId="2" type="noConversion"/>
  </si>
  <si>
    <t>명의변경</t>
    <phoneticPr fontId="2" type="noConversion"/>
  </si>
  <si>
    <t>상한</t>
    <phoneticPr fontId="2" type="noConversion"/>
  </si>
  <si>
    <t>하한</t>
    <phoneticPr fontId="2" type="noConversion"/>
  </si>
  <si>
    <t>25년 전국평균</t>
    <phoneticPr fontId="2" type="noConversion"/>
  </si>
  <si>
    <t>25년 서울평균</t>
    <phoneticPr fontId="2" type="noConversion"/>
  </si>
  <si>
    <t>24평당 서울</t>
    <phoneticPr fontId="2" type="noConversion"/>
  </si>
  <si>
    <t>24 서울</t>
    <phoneticPr fontId="2" type="noConversion"/>
  </si>
  <si>
    <t>24 경기평균</t>
    <phoneticPr fontId="2" type="noConversion"/>
  </si>
  <si>
    <t>24평당 경기</t>
    <phoneticPr fontId="2" type="noConversion"/>
  </si>
  <si>
    <t>메가</t>
    <phoneticPr fontId="3" type="noConversion"/>
  </si>
  <si>
    <t>컴포즈</t>
    <phoneticPr fontId="3" type="noConversion"/>
  </si>
  <si>
    <t>이디야</t>
    <phoneticPr fontId="3" type="noConversion"/>
  </si>
  <si>
    <t>빽다방</t>
    <phoneticPr fontId="3" type="noConversion"/>
  </si>
  <si>
    <t>투썸플레이스</t>
    <phoneticPr fontId="3" type="noConversion"/>
  </si>
  <si>
    <t>지역</t>
  </si>
  <si>
    <t>직영점수</t>
  </si>
  <si>
    <t>전체수</t>
  </si>
  <si>
    <t>전체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</si>
  <si>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</si>
  <si>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</si>
  <si>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</si>
  <si>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</si>
  <si>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</si>
  <si>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</si>
  <si>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</si>
  <si>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</si>
  <si>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</si>
  <si>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</si>
  <si>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</si>
  <si>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</si>
  <si>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</si>
  <si>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</si>
  <si>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</si>
  <si>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</si>
  <si>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</si>
  <si>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정보공개 기준으로 변경(프랑: 정보공개 기준, 공정거래위: 발생시점 기준)</t>
    <phoneticPr fontId="2" type="noConversion"/>
  </si>
  <si>
    <t>공정위 기준</t>
    <phoneticPr fontId="2" type="noConversion"/>
  </si>
  <si>
    <t>매출액</t>
    <phoneticPr fontId="2" type="noConversion"/>
  </si>
  <si>
    <t>창업비용</t>
    <phoneticPr fontId="2" type="noConversion"/>
  </si>
  <si>
    <t>가입비(가맹비)</t>
  </si>
  <si>
    <t>교육비</t>
  </si>
  <si>
    <t>보증금</t>
  </si>
  <si>
    <t>기타비용</t>
  </si>
  <si>
    <t>합계</t>
  </si>
  <si>
    <t>(단위: 원, 부가세 미포함 기준)</t>
  </si>
  <si>
    <t>정기 가맹금</t>
  </si>
  <si>
    <t>(로열티)</t>
  </si>
  <si>
    <t>광고비 분담금</t>
  </si>
  <si>
    <t>판촉비 분담금</t>
  </si>
  <si>
    <t>POS / 키오스크</t>
  </si>
  <si>
    <t>유지보수비</t>
  </si>
  <si>
    <t>기타 영업 중</t>
  </si>
  <si>
    <t>주요 부담항목</t>
  </si>
  <si>
    <t>메가MGC커피</t>
  </si>
  <si>
    <r>
      <t>월 150,000원</t>
    </r>
    <r>
      <rPr>
        <sz val="11"/>
        <color theme="1"/>
        <rFont val="Arial"/>
        <family val="2"/>
      </rPr>
      <t xml:space="preserve"> (정액)</t>
    </r>
  </si>
  <si>
    <t>본부-가맹점 분담</t>
  </si>
  <si>
    <t>(사전 동의 집행)</t>
  </si>
  <si>
    <t>월 약 20,000원 내외</t>
  </si>
  <si>
    <t>• 원부재료 공급대금</t>
  </si>
  <si>
    <t>• 모바일 쿠폰/제휴 수수료</t>
  </si>
  <si>
    <t>컴포즈커피</t>
  </si>
  <si>
    <r>
      <t>월 200,000원</t>
    </r>
    <r>
      <rPr>
        <sz val="11"/>
        <color theme="1"/>
        <rFont val="Arial"/>
        <family val="2"/>
      </rPr>
      <t xml:space="preserve"> (정액)</t>
    </r>
  </si>
  <si>
    <t>• 배달/모바일 수수료</t>
  </si>
  <si>
    <t>이디야커피</t>
  </si>
  <si>
    <r>
      <t>월 250,000원</t>
    </r>
    <r>
      <rPr>
        <sz val="11"/>
        <color theme="1"/>
        <rFont val="Arial"/>
        <family val="2"/>
      </rPr>
      <t xml:space="preserve"> (정액)</t>
    </r>
  </si>
  <si>
    <t>본부 전액 부담</t>
  </si>
  <si>
    <t>또는 일부 분담</t>
  </si>
  <si>
    <t>행사별 일부 분담</t>
  </si>
  <si>
    <t>• 모바일 쿠폰 수수료</t>
  </si>
  <si>
    <t>빽다방</t>
  </si>
  <si>
    <t>연 3,000,000원</t>
  </si>
  <si>
    <t>(월 환산 250,000원)</t>
  </si>
  <si>
    <t>50:50 분담</t>
  </si>
  <si>
    <t>투썸플레이스</t>
  </si>
  <si>
    <r>
      <t>월 순매출액의 3%</t>
    </r>
    <r>
      <rPr>
        <sz val="11"/>
        <color theme="1"/>
        <rFont val="Arial"/>
        <family val="2"/>
      </rPr>
      <t xml:space="preserve"> (정률)</t>
    </r>
  </si>
  <si>
    <t>(가맹점 50% 이상 동의)</t>
  </si>
  <si>
    <t>(가맹점 70% 이상 동의)</t>
  </si>
  <si>
    <t>• POS: 월 19,000원</t>
  </si>
  <si>
    <t>• 키오스크: 월 20,000원</t>
  </si>
  <si>
    <t>• ODS(태블릿): 월 3,500원</t>
  </si>
  <si>
    <t>• 오픈지원 인건비(50% 분담)</t>
  </si>
  <si>
    <t>• DID 컨텐츠관리비 (월 19,800원)</t>
  </si>
  <si>
    <t>• PL보험료, 보수교육비 등</t>
  </si>
  <si>
    <t>브랜드 관련 비용</t>
    <phoneticPr fontId="2" type="noConversion"/>
  </si>
  <si>
    <t>25평당 서울</t>
    <phoneticPr fontId="2" type="noConversion"/>
  </si>
  <si>
    <t>매장 넓이(매출/면적당 매출)</t>
    <phoneticPr fontId="2" type="noConversion"/>
  </si>
  <si>
    <t>25평당 전국</t>
    <phoneticPr fontId="2" type="noConversion"/>
  </si>
  <si>
    <t>브랜드</t>
  </si>
  <si>
    <t>가맹점수_지역단위</t>
  </si>
  <si>
    <t>연평균매출_만원_원자료</t>
  </si>
  <si>
    <t>면적당매출_원자료</t>
  </si>
  <si>
    <t>페이지표시연도</t>
  </si>
  <si>
    <t>메가엠지씨커피(MEGA MGC COFFEE)</t>
  </si>
  <si>
    <t>36,000~41,000만원</t>
  </si>
  <si>
    <t>2,100~2,400만원</t>
  </si>
  <si>
    <t>37,000~42,000만원</t>
  </si>
  <si>
    <t>2,200~2,500만원</t>
  </si>
  <si>
    <t>42,000~47,000만원</t>
  </si>
  <si>
    <t>2,500~2,900만원</t>
  </si>
  <si>
    <t>36,000~40,000만원</t>
  </si>
  <si>
    <t>2,100~2,300만원</t>
  </si>
  <si>
    <t>32,000~36,000만원</t>
  </si>
  <si>
    <t>1,700~1,900만원</t>
  </si>
  <si>
    <t>37,000~41,000만원</t>
  </si>
  <si>
    <t>2,000~2,200만원</t>
  </si>
  <si>
    <t>1,700~2,000만원</t>
  </si>
  <si>
    <t>33,000~37,000만원</t>
  </si>
  <si>
    <t>30,000~33,000만원</t>
  </si>
  <si>
    <t>1,800~2,100만원</t>
  </si>
  <si>
    <t>35,000~39,000만원</t>
  </si>
  <si>
    <t>24,000~27,000만원</t>
  </si>
  <si>
    <t>1,500~1,700만원</t>
  </si>
  <si>
    <t>30,000~34,000만원</t>
  </si>
  <si>
    <t>26,000~29,000만원</t>
  </si>
  <si>
    <t>27,000~30,000만원</t>
  </si>
  <si>
    <t>1,600~1,800만원</t>
  </si>
  <si>
    <t>29,000~32,000만원</t>
  </si>
  <si>
    <t>1,300~1,500만원</t>
  </si>
  <si>
    <t>컴포즈커피(COMPOSE COFFEE)</t>
  </si>
  <si>
    <t>25,000~29,000만원</t>
  </si>
  <si>
    <t>25,000~28,000만원</t>
  </si>
  <si>
    <t>2,000~2,300만원</t>
  </si>
  <si>
    <t>1,800~2,000만원</t>
  </si>
  <si>
    <t>1,400~1,600만원</t>
  </si>
  <si>
    <t>21,000~23,000만원</t>
  </si>
  <si>
    <t>1,100~1,300만원</t>
  </si>
  <si>
    <t>20,000~23,000만원</t>
  </si>
  <si>
    <t>22,000~25,000만원</t>
  </si>
  <si>
    <t>1,100~1,200만원</t>
  </si>
  <si>
    <t>26,000~30,000만원</t>
  </si>
  <si>
    <t>21,000~24,000만원</t>
  </si>
  <si>
    <t>18,000~20,000만원</t>
  </si>
  <si>
    <t>600~660만원</t>
  </si>
  <si>
    <t>670~750만원</t>
  </si>
  <si>
    <t>20,000~22,000만원</t>
  </si>
  <si>
    <t>820~920만원</t>
  </si>
  <si>
    <t>19,000~21,000만원</t>
  </si>
  <si>
    <t>560~630만원</t>
  </si>
  <si>
    <t>510~570만원</t>
  </si>
  <si>
    <t>16,000~19,000만원</t>
  </si>
  <si>
    <t>650~720만원</t>
  </si>
  <si>
    <t>16,000~18,000만원</t>
  </si>
  <si>
    <t>480~540만원</t>
  </si>
  <si>
    <t>440~500만원</t>
  </si>
  <si>
    <t>17,000~19,000만원</t>
  </si>
  <si>
    <t>430~490만원</t>
  </si>
  <si>
    <t>660~730만원</t>
  </si>
  <si>
    <t>520~580만원</t>
  </si>
  <si>
    <t>450~500만원</t>
  </si>
  <si>
    <t>17,000~20,000만원</t>
  </si>
  <si>
    <t>490~550만원</t>
  </si>
  <si>
    <t>490~540만원</t>
  </si>
  <si>
    <t>15,000~18,000만원</t>
  </si>
  <si>
    <t>430~480만원</t>
  </si>
  <si>
    <t>18,000~21,000만원</t>
  </si>
  <si>
    <t>15,000~17,000만원</t>
  </si>
  <si>
    <t>540~600만원</t>
  </si>
  <si>
    <t>1,900~2,200만원</t>
  </si>
  <si>
    <t>2,600~2,900만원</t>
  </si>
  <si>
    <t>28,000~32,000만원</t>
  </si>
  <si>
    <t>1,900~2,100만원</t>
  </si>
  <si>
    <t>34,000~38,000만원</t>
  </si>
  <si>
    <t>1,600~1,900만원</t>
  </si>
  <si>
    <t>1,200~1,400만원</t>
  </si>
  <si>
    <t>29,000~33,000만원</t>
  </si>
  <si>
    <t>23,000~26,000만원</t>
  </si>
  <si>
    <t>28,000~31,000만원</t>
  </si>
  <si>
    <t>54,000~60,000만원</t>
  </si>
  <si>
    <t>900~1,100만원</t>
  </si>
  <si>
    <t>56,000~63,000만원</t>
  </si>
  <si>
    <t>65,000~72,000만원</t>
  </si>
  <si>
    <t>47,000~53,000만원</t>
  </si>
  <si>
    <t>810~910만원</t>
  </si>
  <si>
    <t>53,000~59,000만원</t>
  </si>
  <si>
    <t>49,000~55,000만원</t>
  </si>
  <si>
    <t>830~920만원</t>
  </si>
  <si>
    <t>49,000~54,000만원</t>
  </si>
  <si>
    <t>48,000~53,000만원</t>
  </si>
  <si>
    <t>690~770만원</t>
  </si>
  <si>
    <t>47,000~52,000만원</t>
  </si>
  <si>
    <t>1,000~1,100만원</t>
  </si>
  <si>
    <t>46,000~51,000만원</t>
  </si>
  <si>
    <t>590~660만원</t>
  </si>
  <si>
    <t>55,000~61,000만원</t>
  </si>
  <si>
    <t>740~820만원</t>
  </si>
  <si>
    <t>720~800만원</t>
  </si>
  <si>
    <t>710~790만원</t>
  </si>
  <si>
    <t>55,000~62,000만원</t>
  </si>
  <si>
    <t>890~990만원</t>
  </si>
  <si>
    <t>50,000~56,000만원</t>
  </si>
  <si>
    <t>680~750만원</t>
  </si>
  <si>
    <t>48,000~54,000만원</t>
  </si>
  <si>
    <t>610~680만원</t>
  </si>
  <si>
    <t>39,000~44,000만원</t>
  </si>
  <si>
    <t>620~690만원</t>
  </si>
  <si>
    <t>61,000~68,000만원</t>
  </si>
  <si>
    <t>700~780만원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</si>
</sst>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1" xfId="1" applyFont="1" applyBorder="1" applyAlignment="1"/>
    <xf numFmtId="41" fontId="0" fillId="0" borderId="2" xfId="1" applyFont="1" applyBorder="1" applyAlignment="1"/>
    <xf numFmtId="41" fontId="0" fillId="0" borderId="3" xfId="1" applyFont="1" applyBorder="1" applyAlignment="1"/>
    <xf numFmtId="41" fontId="0" fillId="0" borderId="4" xfId="1" applyFont="1" applyBorder="1" applyAlignment="1"/>
    <xf numFmtId="41" fontId="0" fillId="0" borderId="5" xfId="1" applyFont="1" applyBorder="1" applyAlignment="1"/>
    <xf numFmtId="0" fontId="0" fillId="0" borderId="0" xfId="0" applyAlignment="1"/>
    <xf numFmtId="0" fontId="0" fillId="0" borderId="8" xfId="0" applyBorder="1" applyAlignment="1">
      <alignment horizontal="center"/>
    </xf>
    <xf numFmtId="0" fontId="4" fillId="0" borderId="0" xfId="0" applyFont="1" applyAlignment="1"/>
    <xf numFmtId="0" fontId="4" fillId="0" borderId="17" xfId="0" applyFont="1" applyBorder="1" applyAlignment="1">
      <alignment horizontal="center"/>
    </xf>
    <xf numFmtId="0" fontId="5" fillId="0" borderId="25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0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34" xfId="0" applyFont="1" applyBorder="1" applyAlignment="1">
      <alignment horizontal="center" vertical="top"/>
    </xf>
    <xf numFmtId="0" fontId="5" fillId="0" borderId="35" xfId="0" applyFont="1" applyBorder="1" applyAlignment="1">
      <alignment horizontal="center" vertical="top"/>
    </xf>
    <xf numFmtId="0" fontId="0" fillId="0" borderId="36" xfId="0" applyBorder="1" applyAlignment="1">
      <alignment horizontal="center"/>
    </xf>
    <xf numFmtId="41" fontId="0" fillId="0" borderId="7" xfId="1" applyFont="1" applyBorder="1" applyAlignment="1"/>
    <xf numFmtId="41" fontId="0" fillId="0" borderId="18" xfId="1" applyFont="1" applyBorder="1" applyAlignment="1"/>
    <xf numFmtId="41" fontId="0" fillId="0" borderId="6" xfId="1" applyFont="1" applyBorder="1" applyAlignment="1"/>
    <xf numFmtId="41" fontId="0" fillId="0" borderId="19" xfId="1" applyFont="1" applyBorder="1" applyAlignment="1"/>
    <xf numFmtId="41" fontId="0" fillId="0" borderId="20" xfId="1" applyFont="1" applyBorder="1" applyAlignment="1"/>
    <xf numFmtId="41" fontId="0" fillId="0" borderId="21" xfId="1" applyFont="1" applyBorder="1" applyAlignment="1"/>
    <xf numFmtId="41" fontId="0" fillId="0" borderId="22" xfId="1" applyFont="1" applyBorder="1" applyAlignment="1"/>
    <xf numFmtId="41" fontId="0" fillId="0" borderId="23" xfId="1" applyFont="1" applyBorder="1" applyAlignment="1"/>
    <xf numFmtId="41" fontId="0" fillId="0" borderId="37" xfId="1" applyFont="1" applyBorder="1" applyAlignment="1"/>
    <xf numFmtId="41" fontId="0" fillId="0" borderId="24" xfId="1" applyFont="1" applyBorder="1" applyAlignment="1"/>
    <xf numFmtId="0" fontId="0" fillId="0" borderId="38" xfId="0" applyBorder="1" applyAlignment="1">
      <alignment horizontal="center"/>
    </xf>
    <xf numFmtId="0" fontId="0" fillId="0" borderId="25" xfId="0" applyBorder="1" applyAlignment="1">
      <alignment horizontal="center"/>
    </xf>
    <xf numFmtId="41" fontId="0" fillId="0" borderId="26" xfId="1" applyFont="1" applyBorder="1" applyAlignment="1"/>
    <xf numFmtId="41" fontId="0" fillId="0" borderId="27" xfId="1" applyFont="1" applyBorder="1" applyAlignment="1"/>
    <xf numFmtId="41" fontId="0" fillId="0" borderId="28" xfId="1" applyFont="1" applyBorder="1" applyAlignment="1"/>
    <xf numFmtId="41" fontId="0" fillId="0" borderId="29" xfId="1" applyFont="1" applyBorder="1" applyAlignment="1"/>
    <xf numFmtId="41" fontId="0" fillId="0" borderId="30" xfId="1" applyFont="1" applyBorder="1" applyAlignment="1"/>
    <xf numFmtId="0" fontId="0" fillId="0" borderId="22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41" fontId="0" fillId="2" borderId="4" xfId="1" applyFont="1" applyFill="1" applyBorder="1" applyAlignment="1"/>
    <xf numFmtId="0" fontId="6" fillId="0" borderId="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1" fontId="0" fillId="0" borderId="7" xfId="1" applyFont="1" applyBorder="1" applyAlignment="1">
      <alignment vertical="center"/>
    </xf>
    <xf numFmtId="41" fontId="0" fillId="0" borderId="18" xfId="1" applyFont="1" applyBorder="1" applyAlignment="1">
      <alignment vertical="center"/>
    </xf>
    <xf numFmtId="41" fontId="0" fillId="0" borderId="18" xfId="1" applyFont="1" applyFill="1" applyBorder="1" applyAlignment="1">
      <alignment vertical="center"/>
    </xf>
    <xf numFmtId="41" fontId="0" fillId="0" borderId="6" xfId="1" applyFont="1" applyBorder="1" applyAlignment="1">
      <alignment vertical="center"/>
    </xf>
    <xf numFmtId="41" fontId="0" fillId="0" borderId="5" xfId="1" applyFont="1" applyBorder="1" applyAlignment="1">
      <alignment vertical="center"/>
    </xf>
    <xf numFmtId="41" fontId="0" fillId="2" borderId="4" xfId="1" applyFont="1" applyFill="1" applyBorder="1" applyAlignment="1">
      <alignment vertical="center"/>
    </xf>
    <xf numFmtId="41" fontId="0" fillId="0" borderId="3" xfId="1" applyFont="1" applyBorder="1" applyAlignment="1">
      <alignment vertical="center"/>
    </xf>
    <xf numFmtId="41" fontId="0" fillId="0" borderId="5" xfId="1" applyFont="1" applyFill="1" applyBorder="1" applyAlignment="1">
      <alignment vertical="center"/>
    </xf>
    <xf numFmtId="41" fontId="0" fillId="0" borderId="4" xfId="1" applyFont="1" applyBorder="1" applyAlignment="1">
      <alignment vertical="center"/>
    </xf>
    <xf numFmtId="0" fontId="0" fillId="0" borderId="5" xfId="0" applyBorder="1" applyAlignment="1">
      <alignment vertical="center"/>
    </xf>
    <xf numFmtId="41" fontId="0" fillId="0" borderId="26" xfId="1" applyFont="1" applyBorder="1" applyAlignment="1">
      <alignment vertical="center"/>
    </xf>
    <xf numFmtId="41" fontId="0" fillId="0" borderId="27" xfId="1" applyFont="1" applyBorder="1" applyAlignment="1">
      <alignment vertical="center"/>
    </xf>
    <xf numFmtId="0" fontId="0" fillId="0" borderId="27" xfId="0" applyBorder="1" applyAlignment="1">
      <alignment vertical="center"/>
    </xf>
    <xf numFmtId="41" fontId="0" fillId="0" borderId="27" xfId="1" applyFont="1" applyFill="1" applyBorder="1" applyAlignment="1">
      <alignment vertical="center"/>
    </xf>
    <xf numFmtId="41" fontId="0" fillId="0" borderId="28" xfId="1" applyFont="1" applyBorder="1" applyAlignment="1">
      <alignment vertical="center"/>
    </xf>
    <xf numFmtId="41" fontId="0" fillId="2" borderId="28" xfId="1" applyFont="1" applyFill="1" applyBorder="1" applyAlignment="1">
      <alignment vertical="center"/>
    </xf>
    <xf numFmtId="176" fontId="0" fillId="0" borderId="1" xfId="1" applyNumberFormat="1" applyFont="1" applyBorder="1">
      <alignment vertical="center"/>
    </xf>
    <xf numFmtId="176" fontId="0" fillId="0" borderId="5" xfId="1" applyNumberFormat="1" applyFont="1" applyBorder="1">
      <alignment vertical="center"/>
    </xf>
    <xf numFmtId="176" fontId="0" fillId="0" borderId="29" xfId="1" applyNumberFormat="1" applyFont="1" applyBorder="1">
      <alignment vertical="center"/>
    </xf>
    <xf numFmtId="176" fontId="0" fillId="0" borderId="27" xfId="1" applyNumberFormat="1" applyFont="1" applyBorder="1">
      <alignment vertical="center"/>
    </xf>
    <xf numFmtId="176" fontId="0" fillId="0" borderId="2" xfId="1" applyNumberFormat="1" applyFont="1" applyBorder="1">
      <alignment vertical="center"/>
    </xf>
    <xf numFmtId="176" fontId="0" fillId="0" borderId="30" xfId="1" applyNumberFormat="1" applyFont="1" applyBorder="1">
      <alignment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27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0858-5AD7-4F52-9714-E27F18AF3B9D}">
  <dimension ref="B1:AX131"/>
  <sheetViews>
    <sheetView tabSelected="1" workbookViewId="0">
      <pane xSplit="1" ySplit="2" topLeftCell="B126" activePane="bottomRight" state="frozen"/>
      <selection pane="topRight" activeCell="B1" sqref="B1"/>
      <selection pane="bottomLeft" activeCell="A2" sqref="A2"/>
      <selection pane="bottomRight" activeCell="C1" sqref="B1:C1"/>
    </sheetView>
  </sheetViews>
  <sheetFormatPr defaultRowHeight="16.5" x14ac:dyDescent="0.3"/>
  <cols>
    <col min="2" max="2" width="15.625" style="1" customWidth="1"/>
    <col min="4" max="4" width="17.125" customWidth="1"/>
    <col min="7" max="7" width="14.25" customWidth="1"/>
    <col min="25" max="25" width="10.625" customWidth="1"/>
    <col min="26" max="26" width="7.5" bestFit="1" customWidth="1"/>
    <col min="27" max="29" width="9.375" bestFit="1" customWidth="1"/>
    <col min="30" max="31" width="9.25" bestFit="1" customWidth="1"/>
    <col min="32" max="32" width="12.875" customWidth="1"/>
    <col min="33" max="33" width="16.25" customWidth="1"/>
    <col min="34" max="34" width="15.125" customWidth="1"/>
    <col min="35" max="35" width="8.375" bestFit="1" customWidth="1"/>
    <col min="36" max="36" width="14.625" customWidth="1"/>
    <col min="37" max="38" width="8.875" bestFit="1" customWidth="1"/>
    <col min="39" max="39" width="17.75" customWidth="1"/>
    <col min="40" max="40" width="19" customWidth="1"/>
    <col min="41" max="41" width="20.875" customWidth="1"/>
    <col min="42" max="42" width="16.125" customWidth="1"/>
  </cols>
  <sheetData>
    <row r="1" spans="2:50" ht="17.25" thickBot="1" x14ac:dyDescent="0.35"/>
    <row r="2" spans="2:50" x14ac:dyDescent="0.3">
      <c r="B2" s="44"/>
      <c r="C2" s="42"/>
      <c r="D2" s="40"/>
      <c r="E2" s="40"/>
      <c r="F2" s="40"/>
      <c r="G2" s="40"/>
      <c r="H2" s="40"/>
      <c r="I2" s="40"/>
      <c r="J2" s="40"/>
      <c r="K2" s="40"/>
      <c r="L2" s="40"/>
      <c r="M2" s="100" t="s">
        <v>47</v>
      </c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1"/>
      <c r="AC2" s="105" t="s">
        <v>95</v>
      </c>
      <c r="AD2" s="106"/>
      <c r="AE2" s="106"/>
      <c r="AF2" s="107"/>
      <c r="AG2" s="102" t="s">
        <v>48</v>
      </c>
      <c r="AH2" s="102"/>
      <c r="AI2" s="102"/>
      <c r="AJ2" s="102"/>
      <c r="AK2" s="102"/>
      <c r="AL2" s="110" t="s">
        <v>93</v>
      </c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11"/>
    </row>
    <row r="3" spans="2:50" s="1" customFormat="1" x14ac:dyDescent="0.3">
      <c r="B3" s="45"/>
      <c r="C3" s="87" t="s">
        <v>6</v>
      </c>
      <c r="D3" s="88"/>
      <c r="E3" s="88" t="s">
        <v>7</v>
      </c>
      <c r="F3" s="88"/>
      <c r="G3" s="88" t="s">
        <v>8</v>
      </c>
      <c r="H3" s="88"/>
      <c r="I3" s="88" t="s">
        <v>9</v>
      </c>
      <c r="J3" s="88"/>
      <c r="K3" s="88" t="s">
        <v>10</v>
      </c>
      <c r="L3" s="88"/>
      <c r="M3" s="88" t="s">
        <v>13</v>
      </c>
      <c r="N3" s="88"/>
      <c r="O3" s="88" t="s">
        <v>14</v>
      </c>
      <c r="P3" s="88"/>
      <c r="Q3" s="88" t="s">
        <v>96</v>
      </c>
      <c r="R3" s="88"/>
      <c r="S3" s="88" t="s">
        <v>94</v>
      </c>
      <c r="T3" s="89"/>
      <c r="U3" s="88" t="s">
        <v>16</v>
      </c>
      <c r="V3" s="88"/>
      <c r="W3" s="88" t="s">
        <v>17</v>
      </c>
      <c r="X3" s="88"/>
      <c r="Y3" s="88" t="s">
        <v>15</v>
      </c>
      <c r="Z3" s="88"/>
      <c r="AA3" s="88" t="s">
        <v>18</v>
      </c>
      <c r="AB3" s="89"/>
      <c r="AC3" s="88" t="s">
        <v>13</v>
      </c>
      <c r="AD3" s="88"/>
      <c r="AE3" s="88" t="s">
        <v>14</v>
      </c>
      <c r="AF3" s="88"/>
      <c r="AG3" s="103"/>
      <c r="AH3" s="103"/>
      <c r="AI3" s="103"/>
      <c r="AJ3" s="103"/>
      <c r="AK3" s="103"/>
      <c r="AL3" s="112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113"/>
    </row>
    <row r="4" spans="2:50" s="1" customFormat="1" ht="60.75" thickBot="1" x14ac:dyDescent="0.35">
      <c r="B4" s="46"/>
      <c r="C4" s="43">
        <v>2024</v>
      </c>
      <c r="D4" s="41">
        <v>2025</v>
      </c>
      <c r="E4" s="41">
        <v>2024</v>
      </c>
      <c r="F4" s="41">
        <v>2025</v>
      </c>
      <c r="G4" s="41">
        <v>2024</v>
      </c>
      <c r="H4" s="41">
        <v>2025</v>
      </c>
      <c r="I4" s="41">
        <v>2024</v>
      </c>
      <c r="J4" s="41">
        <v>2025</v>
      </c>
      <c r="K4" s="41">
        <v>2024</v>
      </c>
      <c r="L4" s="41">
        <v>2025</v>
      </c>
      <c r="M4" s="41" t="s">
        <v>11</v>
      </c>
      <c r="N4" s="41" t="s">
        <v>12</v>
      </c>
      <c r="O4" s="41" t="s">
        <v>11</v>
      </c>
      <c r="P4" s="41" t="s">
        <v>12</v>
      </c>
      <c r="Q4" s="41" t="s">
        <v>11</v>
      </c>
      <c r="R4" s="41" t="s">
        <v>12</v>
      </c>
      <c r="S4" s="41" t="s">
        <v>11</v>
      </c>
      <c r="T4" s="41" t="s">
        <v>12</v>
      </c>
      <c r="U4" s="41" t="s">
        <v>11</v>
      </c>
      <c r="V4" s="41" t="s">
        <v>12</v>
      </c>
      <c r="W4" s="41" t="s">
        <v>11</v>
      </c>
      <c r="X4" s="41" t="s">
        <v>12</v>
      </c>
      <c r="Y4" s="41" t="s">
        <v>11</v>
      </c>
      <c r="Z4" s="41" t="s">
        <v>12</v>
      </c>
      <c r="AA4" s="41" t="s">
        <v>11</v>
      </c>
      <c r="AB4" s="48" t="s">
        <v>12</v>
      </c>
      <c r="AC4" s="41" t="s">
        <v>11</v>
      </c>
      <c r="AD4" s="41" t="s">
        <v>12</v>
      </c>
      <c r="AE4" s="41" t="s">
        <v>11</v>
      </c>
      <c r="AF4" s="48" t="s">
        <v>12</v>
      </c>
      <c r="AG4" s="4" t="s">
        <v>49</v>
      </c>
      <c r="AH4" s="6" t="s">
        <v>50</v>
      </c>
      <c r="AI4" s="6" t="s">
        <v>51</v>
      </c>
      <c r="AJ4" s="6" t="s">
        <v>52</v>
      </c>
      <c r="AK4" s="52" t="s">
        <v>53</v>
      </c>
      <c r="AL4" s="53" t="s">
        <v>54</v>
      </c>
      <c r="AM4" s="50" t="s">
        <v>55</v>
      </c>
      <c r="AN4" s="50" t="s">
        <v>56</v>
      </c>
      <c r="AO4" s="104" t="s">
        <v>57</v>
      </c>
      <c r="AP4" s="104"/>
      <c r="AQ4" s="104" t="s">
        <v>58</v>
      </c>
      <c r="AR4" s="104"/>
      <c r="AS4" s="109" t="s">
        <v>59</v>
      </c>
      <c r="AT4" s="109"/>
      <c r="AU4" s="50" t="s">
        <v>60</v>
      </c>
      <c r="AV4" s="50" t="s">
        <v>61</v>
      </c>
      <c r="AW4" s="50" t="s">
        <v>62</v>
      </c>
      <c r="AX4" s="57"/>
    </row>
    <row r="5" spans="2:50" ht="42.75" x14ac:dyDescent="0.3">
      <c r="B5" s="47" t="s">
        <v>0</v>
      </c>
      <c r="C5" s="58">
        <v>2681</v>
      </c>
      <c r="D5" s="59">
        <v>3325</v>
      </c>
      <c r="E5" s="59">
        <v>539</v>
      </c>
      <c r="F5" s="59">
        <v>657</v>
      </c>
      <c r="G5" s="59">
        <v>0</v>
      </c>
      <c r="H5" s="59">
        <v>13</v>
      </c>
      <c r="I5" s="59">
        <v>14</v>
      </c>
      <c r="J5" s="59">
        <v>0</v>
      </c>
      <c r="K5" s="59">
        <v>333</v>
      </c>
      <c r="L5" s="59">
        <v>441</v>
      </c>
      <c r="M5" s="59">
        <v>41000</v>
      </c>
      <c r="N5" s="60">
        <v>36000</v>
      </c>
      <c r="O5" s="60">
        <v>47000</v>
      </c>
      <c r="P5" s="60">
        <v>42000</v>
      </c>
      <c r="Q5" s="59">
        <v>2400</v>
      </c>
      <c r="R5" s="59">
        <v>2100</v>
      </c>
      <c r="S5" s="59">
        <v>2500</v>
      </c>
      <c r="T5" s="61">
        <v>2200</v>
      </c>
      <c r="U5" s="60">
        <v>47000</v>
      </c>
      <c r="V5" s="60">
        <v>42000</v>
      </c>
      <c r="W5" s="60">
        <v>42000</v>
      </c>
      <c r="X5" s="60">
        <v>37000</v>
      </c>
      <c r="Y5" s="59">
        <v>2900</v>
      </c>
      <c r="Z5" s="59">
        <v>2500</v>
      </c>
      <c r="AA5" s="59">
        <v>2500</v>
      </c>
      <c r="AB5" s="61">
        <v>2200</v>
      </c>
      <c r="AC5" s="74">
        <f>M5/R5</f>
        <v>19.523809523809526</v>
      </c>
      <c r="AD5" s="75">
        <f>N5/Q5</f>
        <v>15</v>
      </c>
      <c r="AE5" s="75">
        <f>O5/T5</f>
        <v>21.363636363636363</v>
      </c>
      <c r="AF5" s="78">
        <f>P5/U5</f>
        <v>0.8936170212765957</v>
      </c>
      <c r="AG5" s="64">
        <v>11000</v>
      </c>
      <c r="AH5" s="62">
        <v>5500</v>
      </c>
      <c r="AI5" s="62">
        <v>2000</v>
      </c>
      <c r="AJ5" s="62">
        <v>61638</v>
      </c>
      <c r="AK5" s="63">
        <v>80138</v>
      </c>
      <c r="AL5" s="53" t="s">
        <v>63</v>
      </c>
      <c r="AM5" s="104" t="s">
        <v>64</v>
      </c>
      <c r="AN5" s="104"/>
      <c r="AO5" s="50" t="s">
        <v>65</v>
      </c>
      <c r="AP5" s="50" t="s">
        <v>66</v>
      </c>
      <c r="AQ5" s="50" t="s">
        <v>65</v>
      </c>
      <c r="AR5" s="50" t="s">
        <v>66</v>
      </c>
      <c r="AS5" s="114" t="s">
        <v>67</v>
      </c>
      <c r="AT5" s="114"/>
      <c r="AU5" s="114"/>
      <c r="AV5" s="50" t="s">
        <v>68</v>
      </c>
      <c r="AW5" s="50" t="s">
        <v>69</v>
      </c>
      <c r="AX5" s="57"/>
    </row>
    <row r="6" spans="2:50" ht="42.75" x14ac:dyDescent="0.3">
      <c r="B6" s="45" t="s">
        <v>1</v>
      </c>
      <c r="C6" s="64">
        <v>2360</v>
      </c>
      <c r="D6" s="62">
        <v>2649</v>
      </c>
      <c r="E6" s="62">
        <v>484</v>
      </c>
      <c r="F6" s="62">
        <v>311</v>
      </c>
      <c r="G6" s="62">
        <v>0</v>
      </c>
      <c r="H6" s="62">
        <v>5</v>
      </c>
      <c r="I6" s="62">
        <v>15</v>
      </c>
      <c r="J6" s="62">
        <v>27</v>
      </c>
      <c r="K6" s="62">
        <v>338</v>
      </c>
      <c r="L6" s="62">
        <v>381</v>
      </c>
      <c r="M6" s="62">
        <v>29000</v>
      </c>
      <c r="N6" s="65">
        <v>25000</v>
      </c>
      <c r="O6" s="65">
        <v>30000</v>
      </c>
      <c r="P6" s="65">
        <v>27000</v>
      </c>
      <c r="Q6" s="62">
        <v>1900</v>
      </c>
      <c r="R6" s="62">
        <v>1700</v>
      </c>
      <c r="S6" s="62">
        <v>2000</v>
      </c>
      <c r="T6" s="66">
        <v>1700</v>
      </c>
      <c r="U6" s="65">
        <v>30000</v>
      </c>
      <c r="V6" s="65">
        <v>27000</v>
      </c>
      <c r="W6" s="65">
        <v>25000</v>
      </c>
      <c r="X6" s="65">
        <v>28000</v>
      </c>
      <c r="Y6" s="62">
        <v>2300</v>
      </c>
      <c r="Z6" s="62">
        <v>2000</v>
      </c>
      <c r="AA6" s="62">
        <v>2000</v>
      </c>
      <c r="AB6" s="66">
        <v>1700</v>
      </c>
      <c r="AC6" s="74">
        <f t="shared" ref="AC6:AC9" si="0">M6/R6</f>
        <v>17.058823529411764</v>
      </c>
      <c r="AD6" s="75">
        <f t="shared" ref="AD6:AD9" si="1">N6/Q6</f>
        <v>13.157894736842104</v>
      </c>
      <c r="AE6" s="75">
        <f t="shared" ref="AE6:AE9" si="2">O6/T6</f>
        <v>17.647058823529413</v>
      </c>
      <c r="AF6" s="78">
        <f t="shared" ref="AF6:AF9" si="3">P6/U6</f>
        <v>0.9</v>
      </c>
      <c r="AG6" s="64">
        <v>5500</v>
      </c>
      <c r="AH6" s="62">
        <v>2200</v>
      </c>
      <c r="AI6" s="62">
        <v>5000</v>
      </c>
      <c r="AJ6" s="62">
        <v>70782</v>
      </c>
      <c r="AK6" s="63">
        <v>83482</v>
      </c>
      <c r="AL6" s="53" t="s">
        <v>70</v>
      </c>
      <c r="AM6" s="104" t="s">
        <v>71</v>
      </c>
      <c r="AN6" s="104"/>
      <c r="AO6" s="114" t="s">
        <v>65</v>
      </c>
      <c r="AP6" s="114"/>
      <c r="AQ6" s="114" t="s">
        <v>65</v>
      </c>
      <c r="AR6" s="114"/>
      <c r="AS6" s="114" t="s">
        <v>67</v>
      </c>
      <c r="AT6" s="114"/>
      <c r="AU6" s="114"/>
      <c r="AV6" s="50" t="s">
        <v>68</v>
      </c>
      <c r="AW6" s="50" t="s">
        <v>72</v>
      </c>
      <c r="AX6" s="57"/>
    </row>
    <row r="7" spans="2:50" ht="42.75" x14ac:dyDescent="0.3">
      <c r="B7" s="45" t="s">
        <v>2</v>
      </c>
      <c r="C7" s="64">
        <v>2805</v>
      </c>
      <c r="D7" s="62">
        <v>2562</v>
      </c>
      <c r="E7" s="62">
        <v>143</v>
      </c>
      <c r="F7" s="62">
        <v>126</v>
      </c>
      <c r="G7" s="62">
        <v>343</v>
      </c>
      <c r="H7" s="62">
        <v>369</v>
      </c>
      <c r="I7" s="67">
        <v>0</v>
      </c>
      <c r="J7" s="67">
        <v>0</v>
      </c>
      <c r="K7" s="62">
        <v>244</v>
      </c>
      <c r="L7" s="62">
        <v>187</v>
      </c>
      <c r="M7" s="62">
        <v>20000</v>
      </c>
      <c r="N7" s="65">
        <v>18000</v>
      </c>
      <c r="O7" s="65">
        <v>22000</v>
      </c>
      <c r="P7" s="65">
        <v>20000</v>
      </c>
      <c r="Q7" s="62">
        <v>660</v>
      </c>
      <c r="R7" s="62">
        <v>600</v>
      </c>
      <c r="S7" s="62">
        <v>750</v>
      </c>
      <c r="T7" s="66">
        <v>670</v>
      </c>
      <c r="U7" s="65">
        <v>22000</v>
      </c>
      <c r="V7" s="65">
        <v>20000</v>
      </c>
      <c r="W7" s="65">
        <v>20000</v>
      </c>
      <c r="X7" s="65">
        <v>18000</v>
      </c>
      <c r="Y7" s="62">
        <v>920</v>
      </c>
      <c r="Z7" s="62">
        <v>820</v>
      </c>
      <c r="AA7" s="62">
        <v>750</v>
      </c>
      <c r="AB7" s="66">
        <v>670</v>
      </c>
      <c r="AC7" s="74">
        <f t="shared" si="0"/>
        <v>33.333333333333336</v>
      </c>
      <c r="AD7" s="75">
        <f t="shared" si="1"/>
        <v>27.272727272727273</v>
      </c>
      <c r="AE7" s="75">
        <f t="shared" si="2"/>
        <v>32.835820895522389</v>
      </c>
      <c r="AF7" s="78">
        <f t="shared" si="3"/>
        <v>0.90909090909090906</v>
      </c>
      <c r="AG7" s="64">
        <v>9900</v>
      </c>
      <c r="AH7" s="62">
        <v>3300</v>
      </c>
      <c r="AI7" s="62">
        <v>5000</v>
      </c>
      <c r="AJ7" s="62">
        <v>114120</v>
      </c>
      <c r="AK7" s="63">
        <v>132320</v>
      </c>
      <c r="AL7" s="53" t="s">
        <v>73</v>
      </c>
      <c r="AM7" s="104" t="s">
        <v>74</v>
      </c>
      <c r="AN7" s="104"/>
      <c r="AO7" s="50" t="s">
        <v>75</v>
      </c>
      <c r="AP7" s="50" t="s">
        <v>76</v>
      </c>
      <c r="AQ7" s="114" t="s">
        <v>77</v>
      </c>
      <c r="AR7" s="114"/>
      <c r="AS7" s="114" t="s">
        <v>67</v>
      </c>
      <c r="AT7" s="114"/>
      <c r="AU7" s="114"/>
      <c r="AV7" s="50" t="s">
        <v>68</v>
      </c>
      <c r="AW7" s="50" t="s">
        <v>78</v>
      </c>
      <c r="AX7" s="57"/>
    </row>
    <row r="8" spans="2:50" ht="42.75" x14ac:dyDescent="0.3">
      <c r="B8" s="45" t="s">
        <v>3</v>
      </c>
      <c r="C8" s="64">
        <v>1449</v>
      </c>
      <c r="D8" s="62">
        <v>1712</v>
      </c>
      <c r="E8" s="62">
        <v>241</v>
      </c>
      <c r="F8" s="62">
        <v>286</v>
      </c>
      <c r="G8" s="62">
        <v>20</v>
      </c>
      <c r="H8" s="62">
        <v>23</v>
      </c>
      <c r="I8" s="67">
        <v>0</v>
      </c>
      <c r="J8" s="67">
        <v>0</v>
      </c>
      <c r="K8" s="62">
        <v>108</v>
      </c>
      <c r="L8" s="62">
        <v>149</v>
      </c>
      <c r="M8" s="62">
        <v>34000</v>
      </c>
      <c r="N8" s="65">
        <v>30000</v>
      </c>
      <c r="O8" s="65">
        <v>37000</v>
      </c>
      <c r="P8" s="65">
        <v>33000</v>
      </c>
      <c r="Q8" s="62">
        <v>2200</v>
      </c>
      <c r="R8" s="62">
        <v>1900</v>
      </c>
      <c r="S8" s="62">
        <v>2200</v>
      </c>
      <c r="T8" s="66">
        <v>2000</v>
      </c>
      <c r="U8" s="65">
        <v>37000</v>
      </c>
      <c r="V8" s="65">
        <v>33000</v>
      </c>
      <c r="W8" s="65">
        <v>32000</v>
      </c>
      <c r="X8" s="65">
        <v>29000</v>
      </c>
      <c r="Y8" s="62">
        <v>2900</v>
      </c>
      <c r="Z8" s="62">
        <v>2600</v>
      </c>
      <c r="AA8" s="62">
        <v>2200</v>
      </c>
      <c r="AB8" s="66">
        <v>2000</v>
      </c>
      <c r="AC8" s="74">
        <f t="shared" si="0"/>
        <v>17.894736842105264</v>
      </c>
      <c r="AD8" s="75">
        <f t="shared" si="1"/>
        <v>13.636363636363637</v>
      </c>
      <c r="AE8" s="75">
        <f t="shared" si="2"/>
        <v>18.5</v>
      </c>
      <c r="AF8" s="78">
        <f t="shared" si="3"/>
        <v>0.89189189189189189</v>
      </c>
      <c r="AG8" s="64">
        <v>0</v>
      </c>
      <c r="AH8" s="62">
        <v>3300</v>
      </c>
      <c r="AI8" s="62">
        <v>1500</v>
      </c>
      <c r="AJ8" s="62">
        <v>68272</v>
      </c>
      <c r="AK8" s="63">
        <v>73072</v>
      </c>
      <c r="AL8" s="53" t="s">
        <v>79</v>
      </c>
      <c r="AM8" s="49" t="s">
        <v>80</v>
      </c>
      <c r="AN8" s="50" t="s">
        <v>81</v>
      </c>
      <c r="AO8" s="114" t="s">
        <v>82</v>
      </c>
      <c r="AP8" s="114"/>
      <c r="AQ8" s="114" t="s">
        <v>82</v>
      </c>
      <c r="AR8" s="114"/>
      <c r="AS8" s="114" t="s">
        <v>67</v>
      </c>
      <c r="AT8" s="114"/>
      <c r="AU8" s="114"/>
      <c r="AV8" s="50" t="s">
        <v>68</v>
      </c>
      <c r="AW8" s="50" t="s">
        <v>69</v>
      </c>
      <c r="AX8" s="57"/>
    </row>
    <row r="9" spans="2:50" ht="57.75" thickBot="1" x14ac:dyDescent="0.35">
      <c r="B9" s="46" t="s">
        <v>4</v>
      </c>
      <c r="C9" s="68">
        <v>1484</v>
      </c>
      <c r="D9" s="69">
        <v>1510</v>
      </c>
      <c r="E9" s="69">
        <v>125</v>
      </c>
      <c r="F9" s="69">
        <v>81</v>
      </c>
      <c r="G9" s="69">
        <v>53</v>
      </c>
      <c r="H9" s="69">
        <v>55</v>
      </c>
      <c r="I9" s="70">
        <v>0</v>
      </c>
      <c r="J9" s="70">
        <v>0</v>
      </c>
      <c r="K9" s="69">
        <v>132</v>
      </c>
      <c r="L9" s="69">
        <v>129</v>
      </c>
      <c r="M9" s="69">
        <v>60000</v>
      </c>
      <c r="N9" s="71">
        <v>54000</v>
      </c>
      <c r="O9" s="71">
        <v>72000</v>
      </c>
      <c r="P9" s="71">
        <v>65000</v>
      </c>
      <c r="Q9" s="69">
        <v>1100</v>
      </c>
      <c r="R9" s="69">
        <v>900</v>
      </c>
      <c r="S9" s="69">
        <v>1100</v>
      </c>
      <c r="T9" s="72">
        <v>900</v>
      </c>
      <c r="U9" s="71">
        <v>72000</v>
      </c>
      <c r="V9" s="71">
        <v>65000</v>
      </c>
      <c r="W9" s="71">
        <v>72000</v>
      </c>
      <c r="X9" s="71">
        <v>65000</v>
      </c>
      <c r="Y9" s="69">
        <v>1500</v>
      </c>
      <c r="Z9" s="69">
        <v>1300</v>
      </c>
      <c r="AA9" s="69">
        <v>1100</v>
      </c>
      <c r="AB9" s="72">
        <v>900</v>
      </c>
      <c r="AC9" s="76">
        <f t="shared" si="0"/>
        <v>66.666666666666671</v>
      </c>
      <c r="AD9" s="77">
        <f t="shared" si="1"/>
        <v>49.090909090909093</v>
      </c>
      <c r="AE9" s="77">
        <f t="shared" si="2"/>
        <v>80</v>
      </c>
      <c r="AF9" s="79">
        <f t="shared" si="3"/>
        <v>0.90277777777777779</v>
      </c>
      <c r="AG9" s="68">
        <v>25000</v>
      </c>
      <c r="AH9" s="69">
        <v>1500</v>
      </c>
      <c r="AI9" s="69">
        <v>10000</v>
      </c>
      <c r="AJ9" s="69">
        <v>273300</v>
      </c>
      <c r="AK9" s="73">
        <v>309800</v>
      </c>
      <c r="AL9" s="54" t="s">
        <v>83</v>
      </c>
      <c r="AM9" s="108" t="s">
        <v>84</v>
      </c>
      <c r="AN9" s="108"/>
      <c r="AO9" s="55" t="s">
        <v>82</v>
      </c>
      <c r="AP9" s="56" t="s">
        <v>85</v>
      </c>
      <c r="AQ9" s="55" t="s">
        <v>82</v>
      </c>
      <c r="AR9" s="56" t="s">
        <v>86</v>
      </c>
      <c r="AS9" s="56" t="s">
        <v>87</v>
      </c>
      <c r="AT9" s="56" t="s">
        <v>88</v>
      </c>
      <c r="AU9" s="56" t="s">
        <v>89</v>
      </c>
      <c r="AV9" s="56" t="s">
        <v>90</v>
      </c>
      <c r="AW9" s="56" t="s">
        <v>91</v>
      </c>
      <c r="AX9" s="51" t="s">
        <v>92</v>
      </c>
    </row>
    <row r="10" spans="2:50" x14ac:dyDescent="0.3">
      <c r="B10"/>
      <c r="Z10" s="1"/>
    </row>
    <row r="11" spans="2:50" x14ac:dyDescent="0.3">
      <c r="B11"/>
      <c r="Z11" s="1"/>
    </row>
    <row r="12" spans="2:50" x14ac:dyDescent="0.3">
      <c r="B12"/>
      <c r="Z12" s="1"/>
    </row>
    <row r="17" spans="2:35" ht="17.25" thickBot="1" x14ac:dyDescent="0.35">
      <c r="B17" t="s">
        <v>45</v>
      </c>
    </row>
    <row r="18" spans="2:35" s="7" customFormat="1" ht="17.25" thickBot="1" x14ac:dyDescent="0.35">
      <c r="B18" s="8"/>
      <c r="C18" s="80" t="s">
        <v>19</v>
      </c>
      <c r="D18" s="81"/>
      <c r="E18" s="81"/>
      <c r="F18" s="81"/>
      <c r="G18" s="81"/>
      <c r="H18" s="81"/>
      <c r="I18" s="81"/>
      <c r="J18" s="81"/>
      <c r="K18" s="82"/>
      <c r="L18" s="83" t="s">
        <v>20</v>
      </c>
      <c r="M18" s="81"/>
      <c r="N18" s="81"/>
      <c r="O18" s="81"/>
      <c r="P18" s="81"/>
      <c r="Q18" s="82"/>
      <c r="R18" s="84" t="s">
        <v>21</v>
      </c>
      <c r="S18" s="85"/>
      <c r="T18" s="85"/>
      <c r="U18" s="85"/>
      <c r="V18" s="85"/>
      <c r="W18" s="86"/>
      <c r="X18" s="99" t="s">
        <v>22</v>
      </c>
      <c r="Y18" s="85"/>
      <c r="Z18" s="85"/>
      <c r="AA18" s="85"/>
      <c r="AB18" s="85"/>
      <c r="AC18" s="86"/>
      <c r="AD18" s="84" t="s">
        <v>23</v>
      </c>
      <c r="AE18" s="85"/>
      <c r="AF18" s="85"/>
      <c r="AG18" s="85"/>
      <c r="AH18" s="85"/>
      <c r="AI18" s="86"/>
    </row>
    <row r="19" spans="2:35" s="9" customFormat="1" x14ac:dyDescent="0.3">
      <c r="B19" s="10" t="s">
        <v>46</v>
      </c>
      <c r="C19" s="94">
        <v>2023</v>
      </c>
      <c r="D19" s="95"/>
      <c r="E19" s="96"/>
      <c r="F19" s="97">
        <v>2024</v>
      </c>
      <c r="G19" s="95"/>
      <c r="H19" s="98"/>
      <c r="I19" s="94">
        <v>2025</v>
      </c>
      <c r="J19" s="95"/>
      <c r="K19" s="98"/>
      <c r="L19" s="90">
        <v>2023</v>
      </c>
      <c r="M19" s="91"/>
      <c r="N19" s="92"/>
      <c r="O19" s="94">
        <v>2024</v>
      </c>
      <c r="P19" s="95"/>
      <c r="Q19" s="96"/>
      <c r="R19" s="90">
        <v>2023</v>
      </c>
      <c r="S19" s="91"/>
      <c r="T19" s="92"/>
      <c r="U19" s="90">
        <v>2024</v>
      </c>
      <c r="V19" s="91"/>
      <c r="W19" s="93"/>
      <c r="X19" s="90">
        <v>2023</v>
      </c>
      <c r="Y19" s="91"/>
      <c r="Z19" s="92"/>
      <c r="AA19" s="90">
        <v>2024</v>
      </c>
      <c r="AB19" s="91"/>
      <c r="AC19" s="93"/>
      <c r="AD19" s="90">
        <v>2023</v>
      </c>
      <c r="AE19" s="91"/>
      <c r="AF19" s="92"/>
      <c r="AG19" s="90">
        <v>2024</v>
      </c>
      <c r="AH19" s="91"/>
      <c r="AI19" s="92"/>
    </row>
    <row r="20" spans="2:35" s="7" customFormat="1" ht="17.25" thickBot="1" x14ac:dyDescent="0.35">
      <c r="B20" s="11" t="s">
        <v>24</v>
      </c>
      <c r="C20" s="12" t="s">
        <v>5</v>
      </c>
      <c r="D20" s="13" t="s">
        <v>25</v>
      </c>
      <c r="E20" s="14" t="s">
        <v>26</v>
      </c>
      <c r="F20" s="15" t="s">
        <v>5</v>
      </c>
      <c r="G20" s="13" t="s">
        <v>25</v>
      </c>
      <c r="H20" s="16" t="s">
        <v>26</v>
      </c>
      <c r="I20" s="12" t="s">
        <v>5</v>
      </c>
      <c r="J20" s="13" t="s">
        <v>25</v>
      </c>
      <c r="K20" s="16" t="s">
        <v>26</v>
      </c>
      <c r="L20" s="17" t="s">
        <v>5</v>
      </c>
      <c r="M20" s="18" t="s">
        <v>25</v>
      </c>
      <c r="N20" s="19" t="s">
        <v>26</v>
      </c>
      <c r="O20" s="20" t="s">
        <v>5</v>
      </c>
      <c r="P20" s="18" t="s">
        <v>25</v>
      </c>
      <c r="Q20" s="21" t="s">
        <v>26</v>
      </c>
      <c r="R20" s="15" t="s">
        <v>5</v>
      </c>
      <c r="S20" s="13" t="s">
        <v>25</v>
      </c>
      <c r="T20" s="16" t="s">
        <v>26</v>
      </c>
      <c r="U20" s="15" t="s">
        <v>5</v>
      </c>
      <c r="V20" s="13" t="s">
        <v>25</v>
      </c>
      <c r="W20" s="14" t="s">
        <v>26</v>
      </c>
      <c r="X20" s="15" t="s">
        <v>5</v>
      </c>
      <c r="Y20" s="13" t="s">
        <v>25</v>
      </c>
      <c r="Z20" s="16" t="s">
        <v>26</v>
      </c>
      <c r="AA20" s="15" t="s">
        <v>5</v>
      </c>
      <c r="AB20" s="13" t="s">
        <v>25</v>
      </c>
      <c r="AC20" s="14" t="s">
        <v>26</v>
      </c>
      <c r="AD20" s="15" t="s">
        <v>5</v>
      </c>
      <c r="AE20" s="13" t="s">
        <v>25</v>
      </c>
      <c r="AF20" s="16" t="s">
        <v>26</v>
      </c>
      <c r="AG20" s="15" t="s">
        <v>5</v>
      </c>
      <c r="AH20" s="13" t="s">
        <v>25</v>
      </c>
      <c r="AI20" s="16" t="s">
        <v>26</v>
      </c>
    </row>
    <row r="21" spans="2:35" s="7" customFormat="1" x14ac:dyDescent="0.3">
      <c r="B21" s="22" t="s">
        <v>27</v>
      </c>
      <c r="C21" s="23">
        <v>2681</v>
      </c>
      <c r="D21" s="24">
        <v>28</v>
      </c>
      <c r="E21" s="25">
        <v>2709</v>
      </c>
      <c r="F21" s="26">
        <v>3325</v>
      </c>
      <c r="G21" s="24">
        <v>35</v>
      </c>
      <c r="H21" s="27">
        <v>3360</v>
      </c>
      <c r="I21" s="23">
        <v>3969</v>
      </c>
      <c r="J21" s="24">
        <v>47</v>
      </c>
      <c r="K21" s="25">
        <v>4016</v>
      </c>
      <c r="L21" s="28">
        <v>2370</v>
      </c>
      <c r="M21" s="29">
        <v>1</v>
      </c>
      <c r="N21" s="30">
        <v>2371</v>
      </c>
      <c r="O21" s="31">
        <v>2649</v>
      </c>
      <c r="P21" s="29">
        <v>0</v>
      </c>
      <c r="Q21" s="32">
        <v>2649</v>
      </c>
      <c r="R21" s="26">
        <v>2805</v>
      </c>
      <c r="S21" s="24">
        <v>16</v>
      </c>
      <c r="T21" s="27">
        <v>2821</v>
      </c>
      <c r="U21" s="26">
        <v>2562</v>
      </c>
      <c r="V21" s="24">
        <v>19</v>
      </c>
      <c r="W21" s="25">
        <v>2581</v>
      </c>
      <c r="X21" s="26">
        <v>1449</v>
      </c>
      <c r="Y21" s="24">
        <v>3</v>
      </c>
      <c r="Z21" s="27">
        <v>1452</v>
      </c>
      <c r="AA21" s="26">
        <v>1712</v>
      </c>
      <c r="AB21" s="24">
        <v>3</v>
      </c>
      <c r="AC21" s="25">
        <v>1715</v>
      </c>
      <c r="AD21" s="26">
        <v>1484</v>
      </c>
      <c r="AE21" s="24">
        <v>157</v>
      </c>
      <c r="AF21" s="27">
        <v>1641</v>
      </c>
      <c r="AG21" s="26">
        <v>1510</v>
      </c>
      <c r="AH21" s="24">
        <v>160</v>
      </c>
      <c r="AI21" s="27">
        <v>1670</v>
      </c>
    </row>
    <row r="22" spans="2:35" s="7" customFormat="1" x14ac:dyDescent="0.3">
      <c r="B22" s="33" t="s">
        <v>28</v>
      </c>
      <c r="C22" s="4">
        <v>638</v>
      </c>
      <c r="D22" s="6">
        <v>26</v>
      </c>
      <c r="E22" s="5">
        <v>664</v>
      </c>
      <c r="F22" s="2">
        <v>795</v>
      </c>
      <c r="G22" s="6">
        <v>30</v>
      </c>
      <c r="H22" s="3">
        <v>825</v>
      </c>
      <c r="I22" s="4">
        <v>931</v>
      </c>
      <c r="J22" s="6">
        <v>38</v>
      </c>
      <c r="K22" s="5">
        <v>969</v>
      </c>
      <c r="L22" s="2">
        <v>413</v>
      </c>
      <c r="M22" s="6">
        <v>0</v>
      </c>
      <c r="N22" s="3">
        <v>413</v>
      </c>
      <c r="O22" s="4">
        <v>456</v>
      </c>
      <c r="P22" s="6">
        <v>0</v>
      </c>
      <c r="Q22" s="5">
        <v>456</v>
      </c>
      <c r="R22" s="2">
        <v>592</v>
      </c>
      <c r="S22" s="6">
        <v>10</v>
      </c>
      <c r="T22" s="3">
        <v>602</v>
      </c>
      <c r="U22" s="2">
        <v>510</v>
      </c>
      <c r="V22" s="6">
        <v>13</v>
      </c>
      <c r="W22" s="5">
        <v>523</v>
      </c>
      <c r="X22" s="2">
        <v>298</v>
      </c>
      <c r="Y22" s="6">
        <v>1</v>
      </c>
      <c r="Z22" s="3">
        <v>299</v>
      </c>
      <c r="AA22" s="2">
        <v>359</v>
      </c>
      <c r="AB22" s="6">
        <v>1</v>
      </c>
      <c r="AC22" s="5">
        <v>360</v>
      </c>
      <c r="AD22" s="2">
        <v>106</v>
      </c>
      <c r="AE22" s="6">
        <v>277</v>
      </c>
      <c r="AF22" s="3">
        <v>383</v>
      </c>
      <c r="AG22" s="2">
        <v>279</v>
      </c>
      <c r="AH22" s="6">
        <v>111</v>
      </c>
      <c r="AI22" s="3">
        <v>390</v>
      </c>
    </row>
    <row r="23" spans="2:35" s="7" customFormat="1" x14ac:dyDescent="0.3">
      <c r="B23" s="33" t="s">
        <v>29</v>
      </c>
      <c r="C23" s="4">
        <v>92</v>
      </c>
      <c r="D23" s="6">
        <v>1</v>
      </c>
      <c r="E23" s="5">
        <v>93</v>
      </c>
      <c r="F23" s="2">
        <v>103</v>
      </c>
      <c r="G23" s="6">
        <v>1</v>
      </c>
      <c r="H23" s="3">
        <v>104</v>
      </c>
      <c r="I23" s="4">
        <v>116</v>
      </c>
      <c r="J23" s="6">
        <v>1</v>
      </c>
      <c r="K23" s="5">
        <v>117</v>
      </c>
      <c r="L23" s="2">
        <v>266</v>
      </c>
      <c r="M23" s="6">
        <v>1</v>
      </c>
      <c r="N23" s="3">
        <v>267</v>
      </c>
      <c r="O23" s="4">
        <v>264</v>
      </c>
      <c r="P23" s="6">
        <v>0</v>
      </c>
      <c r="Q23" s="5">
        <v>264</v>
      </c>
      <c r="R23" s="2">
        <v>150</v>
      </c>
      <c r="S23" s="6">
        <v>2</v>
      </c>
      <c r="T23" s="3">
        <v>152</v>
      </c>
      <c r="U23" s="2">
        <v>134</v>
      </c>
      <c r="V23" s="6">
        <v>2</v>
      </c>
      <c r="W23" s="5">
        <v>136</v>
      </c>
      <c r="X23" s="2">
        <v>30</v>
      </c>
      <c r="Y23" s="6">
        <v>0</v>
      </c>
      <c r="Z23" s="3">
        <v>30</v>
      </c>
      <c r="AA23" s="2">
        <v>34</v>
      </c>
      <c r="AB23" s="6">
        <v>0</v>
      </c>
      <c r="AC23" s="5">
        <v>34</v>
      </c>
      <c r="AD23" s="2">
        <v>77</v>
      </c>
      <c r="AE23" s="6">
        <v>10</v>
      </c>
      <c r="AF23" s="3">
        <v>87</v>
      </c>
      <c r="AG23" s="2">
        <v>78</v>
      </c>
      <c r="AH23" s="6">
        <v>8</v>
      </c>
      <c r="AI23" s="3">
        <v>86</v>
      </c>
    </row>
    <row r="24" spans="2:35" s="7" customFormat="1" x14ac:dyDescent="0.3">
      <c r="B24" s="33" t="s">
        <v>30</v>
      </c>
      <c r="C24" s="4">
        <v>42</v>
      </c>
      <c r="D24" s="6">
        <v>0</v>
      </c>
      <c r="E24" s="5">
        <v>42</v>
      </c>
      <c r="F24" s="2">
        <v>57</v>
      </c>
      <c r="G24" s="6">
        <v>0</v>
      </c>
      <c r="H24" s="3">
        <v>57</v>
      </c>
      <c r="I24" s="4">
        <v>74</v>
      </c>
      <c r="J24" s="6">
        <v>0</v>
      </c>
      <c r="K24" s="5">
        <v>74</v>
      </c>
      <c r="L24" s="2">
        <v>48</v>
      </c>
      <c r="M24" s="6">
        <v>0</v>
      </c>
      <c r="N24" s="3">
        <v>48</v>
      </c>
      <c r="O24" s="4">
        <v>58</v>
      </c>
      <c r="P24" s="6">
        <v>0</v>
      </c>
      <c r="Q24" s="5">
        <v>58</v>
      </c>
      <c r="R24" s="2">
        <v>105</v>
      </c>
      <c r="S24" s="6">
        <v>0</v>
      </c>
      <c r="T24" s="3">
        <v>105</v>
      </c>
      <c r="U24" s="2">
        <v>105</v>
      </c>
      <c r="V24" s="6">
        <v>0</v>
      </c>
      <c r="W24" s="5">
        <v>105</v>
      </c>
      <c r="X24" s="2">
        <v>66</v>
      </c>
      <c r="Y24" s="6">
        <v>0</v>
      </c>
      <c r="Z24" s="3">
        <v>66</v>
      </c>
      <c r="AA24" s="2">
        <v>79</v>
      </c>
      <c r="AB24" s="6">
        <v>0</v>
      </c>
      <c r="AC24" s="5">
        <v>79</v>
      </c>
      <c r="AD24" s="2">
        <v>96</v>
      </c>
      <c r="AE24" s="6">
        <v>4</v>
      </c>
      <c r="AF24" s="3">
        <v>100</v>
      </c>
      <c r="AG24" s="2">
        <v>97</v>
      </c>
      <c r="AH24" s="6">
        <v>4</v>
      </c>
      <c r="AI24" s="3">
        <v>101</v>
      </c>
    </row>
    <row r="25" spans="2:35" s="7" customFormat="1" x14ac:dyDescent="0.3">
      <c r="B25" s="33" t="s">
        <v>31</v>
      </c>
      <c r="C25" s="4">
        <v>245</v>
      </c>
      <c r="D25" s="6">
        <v>0</v>
      </c>
      <c r="E25" s="5">
        <v>245</v>
      </c>
      <c r="F25" s="2">
        <v>294</v>
      </c>
      <c r="G25" s="6">
        <v>0</v>
      </c>
      <c r="H25" s="3">
        <v>294</v>
      </c>
      <c r="I25" s="4">
        <v>354</v>
      </c>
      <c r="J25" s="6">
        <v>0</v>
      </c>
      <c r="K25" s="5">
        <v>354</v>
      </c>
      <c r="L25" s="2">
        <v>219</v>
      </c>
      <c r="M25" s="6">
        <v>0</v>
      </c>
      <c r="N25" s="3">
        <v>219</v>
      </c>
      <c r="O25" s="4">
        <v>239</v>
      </c>
      <c r="P25" s="6">
        <v>0</v>
      </c>
      <c r="Q25" s="5">
        <v>239</v>
      </c>
      <c r="R25" s="2">
        <v>176</v>
      </c>
      <c r="S25" s="6">
        <v>0</v>
      </c>
      <c r="T25" s="3">
        <v>176</v>
      </c>
      <c r="U25" s="2">
        <v>138</v>
      </c>
      <c r="V25" s="6">
        <v>0</v>
      </c>
      <c r="W25" s="5">
        <v>138</v>
      </c>
      <c r="X25" s="2">
        <v>125</v>
      </c>
      <c r="Y25" s="6">
        <v>0</v>
      </c>
      <c r="Z25" s="3">
        <v>125</v>
      </c>
      <c r="AA25" s="2">
        <v>143</v>
      </c>
      <c r="AB25" s="6">
        <v>0</v>
      </c>
      <c r="AC25" s="5">
        <v>143</v>
      </c>
      <c r="AD25" s="2">
        <v>98</v>
      </c>
      <c r="AE25" s="6">
        <v>2</v>
      </c>
      <c r="AF25" s="3">
        <v>100</v>
      </c>
      <c r="AG25" s="2">
        <v>96</v>
      </c>
      <c r="AH25" s="6">
        <v>3</v>
      </c>
      <c r="AI25" s="3">
        <v>99</v>
      </c>
    </row>
    <row r="26" spans="2:35" s="7" customFormat="1" x14ac:dyDescent="0.3">
      <c r="B26" s="33" t="s">
        <v>32</v>
      </c>
      <c r="C26" s="4">
        <v>115</v>
      </c>
      <c r="D26" s="6">
        <v>0</v>
      </c>
      <c r="E26" s="5">
        <v>115</v>
      </c>
      <c r="F26" s="2">
        <v>141</v>
      </c>
      <c r="G26" s="6">
        <v>0</v>
      </c>
      <c r="H26" s="3">
        <v>141</v>
      </c>
      <c r="I26" s="4">
        <v>172</v>
      </c>
      <c r="J26" s="6">
        <v>0</v>
      </c>
      <c r="K26" s="5">
        <v>172</v>
      </c>
      <c r="L26" s="2">
        <v>140</v>
      </c>
      <c r="M26" s="6">
        <v>0</v>
      </c>
      <c r="N26" s="3">
        <v>140</v>
      </c>
      <c r="O26" s="4">
        <v>160</v>
      </c>
      <c r="P26" s="6">
        <v>0</v>
      </c>
      <c r="Q26" s="5">
        <v>160</v>
      </c>
      <c r="R26" s="2">
        <v>74</v>
      </c>
      <c r="S26" s="6">
        <v>0</v>
      </c>
      <c r="T26" s="3">
        <v>74</v>
      </c>
      <c r="U26" s="2">
        <v>68</v>
      </c>
      <c r="V26" s="6">
        <v>0</v>
      </c>
      <c r="W26" s="5">
        <v>68</v>
      </c>
      <c r="X26" s="2">
        <v>22</v>
      </c>
      <c r="Y26" s="6">
        <v>0</v>
      </c>
      <c r="Z26" s="3">
        <v>22</v>
      </c>
      <c r="AA26" s="2">
        <v>23</v>
      </c>
      <c r="AB26" s="6">
        <v>0</v>
      </c>
      <c r="AC26" s="5">
        <v>23</v>
      </c>
      <c r="AD26" s="2">
        <v>48</v>
      </c>
      <c r="AE26" s="6">
        <v>2</v>
      </c>
      <c r="AF26" s="3">
        <v>50</v>
      </c>
      <c r="AG26" s="2">
        <v>49</v>
      </c>
      <c r="AH26" s="6">
        <v>2</v>
      </c>
      <c r="AI26" s="3">
        <v>51</v>
      </c>
    </row>
    <row r="27" spans="2:35" s="7" customFormat="1" x14ac:dyDescent="0.3">
      <c r="B27" s="33" t="s">
        <v>33</v>
      </c>
      <c r="C27" s="4">
        <v>66</v>
      </c>
      <c r="D27" s="6">
        <v>0</v>
      </c>
      <c r="E27" s="5">
        <v>66</v>
      </c>
      <c r="F27" s="2">
        <v>87</v>
      </c>
      <c r="G27" s="6">
        <v>0</v>
      </c>
      <c r="H27" s="3">
        <v>87</v>
      </c>
      <c r="I27" s="4">
        <v>107</v>
      </c>
      <c r="J27" s="6">
        <v>0</v>
      </c>
      <c r="K27" s="5">
        <v>107</v>
      </c>
      <c r="L27" s="2">
        <v>40</v>
      </c>
      <c r="M27" s="6">
        <v>0</v>
      </c>
      <c r="N27" s="3">
        <v>40</v>
      </c>
      <c r="O27" s="4">
        <v>53</v>
      </c>
      <c r="P27" s="6">
        <v>0</v>
      </c>
      <c r="Q27" s="5">
        <v>53</v>
      </c>
      <c r="R27" s="2">
        <v>59</v>
      </c>
      <c r="S27" s="6">
        <v>0</v>
      </c>
      <c r="T27" s="3">
        <v>59</v>
      </c>
      <c r="U27" s="2">
        <v>55</v>
      </c>
      <c r="V27" s="6">
        <v>0</v>
      </c>
      <c r="W27" s="5">
        <v>55</v>
      </c>
      <c r="X27" s="2">
        <v>97</v>
      </c>
      <c r="Y27" s="6">
        <v>0</v>
      </c>
      <c r="Z27" s="3">
        <v>97</v>
      </c>
      <c r="AA27" s="2">
        <v>112</v>
      </c>
      <c r="AB27" s="6">
        <v>0</v>
      </c>
      <c r="AC27" s="5">
        <v>112</v>
      </c>
      <c r="AD27" s="2">
        <v>65</v>
      </c>
      <c r="AE27" s="6">
        <v>5</v>
      </c>
      <c r="AF27" s="3">
        <v>70</v>
      </c>
      <c r="AG27" s="2">
        <v>67</v>
      </c>
      <c r="AH27" s="6">
        <v>3</v>
      </c>
      <c r="AI27" s="3">
        <v>70</v>
      </c>
    </row>
    <row r="28" spans="2:35" s="7" customFormat="1" x14ac:dyDescent="0.3">
      <c r="B28" s="33" t="s">
        <v>34</v>
      </c>
      <c r="C28" s="4">
        <v>11</v>
      </c>
      <c r="D28" s="6">
        <v>0</v>
      </c>
      <c r="E28" s="5">
        <v>11</v>
      </c>
      <c r="F28" s="2">
        <v>15</v>
      </c>
      <c r="G28" s="6">
        <v>0</v>
      </c>
      <c r="H28" s="3">
        <v>15</v>
      </c>
      <c r="I28" s="4">
        <v>22</v>
      </c>
      <c r="J28" s="6">
        <v>0</v>
      </c>
      <c r="K28" s="5">
        <v>22</v>
      </c>
      <c r="L28" s="2">
        <v>44</v>
      </c>
      <c r="M28" s="6">
        <v>0</v>
      </c>
      <c r="N28" s="3">
        <v>44</v>
      </c>
      <c r="O28" s="4">
        <v>48</v>
      </c>
      <c r="P28" s="6">
        <v>0</v>
      </c>
      <c r="Q28" s="5">
        <v>48</v>
      </c>
      <c r="R28" s="2">
        <v>92</v>
      </c>
      <c r="S28" s="6">
        <v>0</v>
      </c>
      <c r="T28" s="3">
        <v>92</v>
      </c>
      <c r="U28" s="2">
        <v>90</v>
      </c>
      <c r="V28" s="6">
        <v>0</v>
      </c>
      <c r="W28" s="5">
        <v>90</v>
      </c>
      <c r="X28" s="2">
        <v>10</v>
      </c>
      <c r="Y28" s="6">
        <v>0</v>
      </c>
      <c r="Z28" s="3">
        <v>10</v>
      </c>
      <c r="AA28" s="2">
        <v>10</v>
      </c>
      <c r="AB28" s="6">
        <v>0</v>
      </c>
      <c r="AC28" s="5">
        <v>10</v>
      </c>
      <c r="AD28" s="2">
        <v>33</v>
      </c>
      <c r="AE28" s="6">
        <v>0</v>
      </c>
      <c r="AF28" s="3">
        <v>33</v>
      </c>
      <c r="AG28" s="2">
        <v>33</v>
      </c>
      <c r="AH28" s="6">
        <v>0</v>
      </c>
      <c r="AI28" s="3">
        <v>33</v>
      </c>
    </row>
    <row r="29" spans="2:35" s="7" customFormat="1" x14ac:dyDescent="0.3">
      <c r="B29" s="33" t="s">
        <v>35</v>
      </c>
      <c r="C29" s="4">
        <v>16</v>
      </c>
      <c r="D29" s="6">
        <v>0</v>
      </c>
      <c r="E29" s="5">
        <v>16</v>
      </c>
      <c r="F29" s="2">
        <v>20</v>
      </c>
      <c r="G29" s="6">
        <v>0</v>
      </c>
      <c r="H29" s="3">
        <v>20</v>
      </c>
      <c r="I29" s="4">
        <v>24</v>
      </c>
      <c r="J29" s="6">
        <v>0</v>
      </c>
      <c r="K29" s="5">
        <v>24</v>
      </c>
      <c r="L29" s="2">
        <v>5</v>
      </c>
      <c r="M29" s="6">
        <v>0</v>
      </c>
      <c r="N29" s="3">
        <v>5</v>
      </c>
      <c r="O29" s="4">
        <v>10</v>
      </c>
      <c r="P29" s="6">
        <v>0</v>
      </c>
      <c r="Q29" s="5">
        <v>10</v>
      </c>
      <c r="R29" s="2">
        <v>20</v>
      </c>
      <c r="S29" s="6">
        <v>0</v>
      </c>
      <c r="T29" s="3">
        <v>20</v>
      </c>
      <c r="U29" s="2">
        <v>19</v>
      </c>
      <c r="V29" s="6">
        <v>0</v>
      </c>
      <c r="W29" s="5">
        <v>19</v>
      </c>
      <c r="X29" s="2">
        <v>20</v>
      </c>
      <c r="Y29" s="6">
        <v>0</v>
      </c>
      <c r="Z29" s="3">
        <v>20</v>
      </c>
      <c r="AA29" s="2">
        <v>27</v>
      </c>
      <c r="AB29" s="6">
        <v>0</v>
      </c>
      <c r="AC29" s="5">
        <v>27</v>
      </c>
      <c r="AD29" s="2">
        <v>15</v>
      </c>
      <c r="AE29" s="6">
        <v>1</v>
      </c>
      <c r="AF29" s="3">
        <v>16</v>
      </c>
      <c r="AG29" s="2">
        <v>15</v>
      </c>
      <c r="AH29" s="6">
        <v>0</v>
      </c>
      <c r="AI29" s="3">
        <v>15</v>
      </c>
    </row>
    <row r="30" spans="2:35" s="7" customFormat="1" x14ac:dyDescent="0.3">
      <c r="B30" s="33" t="s">
        <v>36</v>
      </c>
      <c r="C30" s="4">
        <v>894</v>
      </c>
      <c r="D30" s="6">
        <v>1</v>
      </c>
      <c r="E30" s="5">
        <v>895</v>
      </c>
      <c r="F30" s="2">
        <v>1110</v>
      </c>
      <c r="G30" s="6">
        <v>4</v>
      </c>
      <c r="H30" s="3">
        <v>1114</v>
      </c>
      <c r="I30" s="4">
        <v>1327</v>
      </c>
      <c r="J30" s="6">
        <v>5</v>
      </c>
      <c r="K30" s="5">
        <v>1332</v>
      </c>
      <c r="L30" s="2">
        <v>598</v>
      </c>
      <c r="M30" s="6">
        <v>0</v>
      </c>
      <c r="N30" s="3">
        <v>598</v>
      </c>
      <c r="O30" s="4">
        <v>663</v>
      </c>
      <c r="P30" s="6">
        <v>0</v>
      </c>
      <c r="Q30" s="5">
        <v>663</v>
      </c>
      <c r="R30" s="2">
        <v>726</v>
      </c>
      <c r="S30" s="6">
        <v>2</v>
      </c>
      <c r="T30" s="3">
        <v>728</v>
      </c>
      <c r="U30" s="2">
        <v>642</v>
      </c>
      <c r="V30" s="6">
        <v>2</v>
      </c>
      <c r="W30" s="5">
        <v>644</v>
      </c>
      <c r="X30" s="2">
        <v>369</v>
      </c>
      <c r="Y30" s="6">
        <v>0</v>
      </c>
      <c r="Z30" s="3">
        <v>369</v>
      </c>
      <c r="AA30" s="2">
        <v>440</v>
      </c>
      <c r="AB30" s="6">
        <v>0</v>
      </c>
      <c r="AC30" s="5">
        <v>440</v>
      </c>
      <c r="AD30" s="2">
        <v>366</v>
      </c>
      <c r="AE30" s="6">
        <v>20</v>
      </c>
      <c r="AF30" s="3">
        <v>386</v>
      </c>
      <c r="AG30" s="2">
        <v>376</v>
      </c>
      <c r="AH30" s="6">
        <v>22</v>
      </c>
      <c r="AI30" s="3">
        <v>398</v>
      </c>
    </row>
    <row r="31" spans="2:35" s="7" customFormat="1" x14ac:dyDescent="0.3">
      <c r="B31" s="33" t="s">
        <v>37</v>
      </c>
      <c r="C31" s="4">
        <v>85</v>
      </c>
      <c r="D31" s="6">
        <v>0</v>
      </c>
      <c r="E31" s="5">
        <v>85</v>
      </c>
      <c r="F31" s="2">
        <v>104</v>
      </c>
      <c r="G31" s="6">
        <v>0</v>
      </c>
      <c r="H31" s="3">
        <v>104</v>
      </c>
      <c r="I31" s="4">
        <v>120</v>
      </c>
      <c r="J31" s="6">
        <v>0</v>
      </c>
      <c r="K31" s="5">
        <v>120</v>
      </c>
      <c r="L31" s="2">
        <v>75</v>
      </c>
      <c r="M31" s="6">
        <v>0</v>
      </c>
      <c r="N31" s="3">
        <v>75</v>
      </c>
      <c r="O31" s="4">
        <v>86</v>
      </c>
      <c r="P31" s="6">
        <v>0</v>
      </c>
      <c r="Q31" s="5">
        <v>86</v>
      </c>
      <c r="R31" s="2">
        <v>139</v>
      </c>
      <c r="S31" s="6">
        <v>0</v>
      </c>
      <c r="T31" s="3">
        <v>139</v>
      </c>
      <c r="U31" s="2">
        <v>145</v>
      </c>
      <c r="V31" s="6">
        <v>0</v>
      </c>
      <c r="W31" s="5">
        <v>145</v>
      </c>
      <c r="X31" s="2">
        <v>43</v>
      </c>
      <c r="Y31" s="6">
        <v>0</v>
      </c>
      <c r="Z31" s="3">
        <v>43</v>
      </c>
      <c r="AA31" s="2">
        <v>51</v>
      </c>
      <c r="AB31" s="6">
        <v>0</v>
      </c>
      <c r="AC31" s="5">
        <v>51</v>
      </c>
      <c r="AD31" s="2">
        <v>60</v>
      </c>
      <c r="AE31" s="6">
        <v>1</v>
      </c>
      <c r="AF31" s="3">
        <v>61</v>
      </c>
      <c r="AG31" s="2">
        <v>62</v>
      </c>
      <c r="AH31" s="6">
        <v>1</v>
      </c>
      <c r="AI31" s="3">
        <v>63</v>
      </c>
    </row>
    <row r="32" spans="2:35" s="7" customFormat="1" x14ac:dyDescent="0.3">
      <c r="B32" s="33" t="s">
        <v>38</v>
      </c>
      <c r="C32" s="4">
        <v>82</v>
      </c>
      <c r="D32" s="6">
        <v>0</v>
      </c>
      <c r="E32" s="5">
        <v>82</v>
      </c>
      <c r="F32" s="2">
        <v>106</v>
      </c>
      <c r="G32" s="6">
        <v>0</v>
      </c>
      <c r="H32" s="3">
        <v>106</v>
      </c>
      <c r="I32" s="4">
        <v>131</v>
      </c>
      <c r="J32" s="6">
        <v>0</v>
      </c>
      <c r="K32" s="5">
        <v>131</v>
      </c>
      <c r="L32" s="2">
        <v>33</v>
      </c>
      <c r="M32" s="6">
        <v>0</v>
      </c>
      <c r="N32" s="3">
        <v>33</v>
      </c>
      <c r="O32" s="4">
        <v>42</v>
      </c>
      <c r="P32" s="6">
        <v>0</v>
      </c>
      <c r="Q32" s="5">
        <v>42</v>
      </c>
      <c r="R32" s="2">
        <v>99</v>
      </c>
      <c r="S32" s="6">
        <v>0</v>
      </c>
      <c r="T32" s="3">
        <v>99</v>
      </c>
      <c r="U32" s="2">
        <v>94</v>
      </c>
      <c r="V32" s="6">
        <v>0</v>
      </c>
      <c r="W32" s="5">
        <v>94</v>
      </c>
      <c r="X32" s="2">
        <v>43</v>
      </c>
      <c r="Y32" s="6">
        <v>0</v>
      </c>
      <c r="Z32" s="3">
        <v>43</v>
      </c>
      <c r="AA32" s="2">
        <v>50</v>
      </c>
      <c r="AB32" s="6">
        <v>0</v>
      </c>
      <c r="AC32" s="5">
        <v>50</v>
      </c>
      <c r="AD32" s="2">
        <v>51</v>
      </c>
      <c r="AE32" s="6">
        <v>2</v>
      </c>
      <c r="AF32" s="3">
        <v>53</v>
      </c>
      <c r="AG32" s="2">
        <v>51</v>
      </c>
      <c r="AH32" s="6">
        <v>2</v>
      </c>
      <c r="AI32" s="3">
        <v>53</v>
      </c>
    </row>
    <row r="33" spans="2:35" s="7" customFormat="1" x14ac:dyDescent="0.3">
      <c r="B33" s="33" t="s">
        <v>39</v>
      </c>
      <c r="C33" s="4">
        <v>87</v>
      </c>
      <c r="D33" s="6">
        <v>0</v>
      </c>
      <c r="E33" s="5">
        <v>87</v>
      </c>
      <c r="F33" s="2">
        <v>116</v>
      </c>
      <c r="G33" s="6">
        <v>0</v>
      </c>
      <c r="H33" s="3">
        <v>116</v>
      </c>
      <c r="I33" s="4">
        <v>149</v>
      </c>
      <c r="J33" s="6">
        <v>3</v>
      </c>
      <c r="K33" s="5">
        <v>152</v>
      </c>
      <c r="L33" s="2">
        <v>54</v>
      </c>
      <c r="M33" s="6">
        <v>0</v>
      </c>
      <c r="N33" s="3">
        <v>54</v>
      </c>
      <c r="O33" s="4">
        <v>69</v>
      </c>
      <c r="P33" s="6">
        <v>0</v>
      </c>
      <c r="Q33" s="5">
        <v>69</v>
      </c>
      <c r="R33" s="2">
        <v>97</v>
      </c>
      <c r="S33" s="6">
        <v>0</v>
      </c>
      <c r="T33" s="3">
        <v>97</v>
      </c>
      <c r="U33" s="2">
        <v>96</v>
      </c>
      <c r="V33" s="6">
        <v>0</v>
      </c>
      <c r="W33" s="5">
        <v>96</v>
      </c>
      <c r="X33" s="2">
        <v>82</v>
      </c>
      <c r="Y33" s="6">
        <v>0</v>
      </c>
      <c r="Z33" s="3">
        <v>82</v>
      </c>
      <c r="AA33" s="2">
        <v>93</v>
      </c>
      <c r="AB33" s="6">
        <v>0</v>
      </c>
      <c r="AC33" s="5">
        <v>93</v>
      </c>
      <c r="AD33" s="2">
        <v>58</v>
      </c>
      <c r="AE33" s="6">
        <v>3</v>
      </c>
      <c r="AF33" s="3">
        <v>61</v>
      </c>
      <c r="AG33" s="2">
        <v>59</v>
      </c>
      <c r="AH33" s="6">
        <v>3</v>
      </c>
      <c r="AI33" s="3">
        <v>62</v>
      </c>
    </row>
    <row r="34" spans="2:35" s="7" customFormat="1" x14ac:dyDescent="0.3">
      <c r="B34" s="33" t="s">
        <v>40</v>
      </c>
      <c r="C34" s="4">
        <v>57</v>
      </c>
      <c r="D34" s="6">
        <v>0</v>
      </c>
      <c r="E34" s="5">
        <v>57</v>
      </c>
      <c r="F34" s="2">
        <v>72</v>
      </c>
      <c r="G34" s="6">
        <v>0</v>
      </c>
      <c r="H34" s="3">
        <v>72</v>
      </c>
      <c r="I34" s="4">
        <v>92</v>
      </c>
      <c r="J34" s="6">
        <v>0</v>
      </c>
      <c r="K34" s="5">
        <v>92</v>
      </c>
      <c r="L34" s="2">
        <v>30</v>
      </c>
      <c r="M34" s="6">
        <v>0</v>
      </c>
      <c r="N34" s="3">
        <v>30</v>
      </c>
      <c r="O34" s="4">
        <v>38</v>
      </c>
      <c r="P34" s="6">
        <v>0</v>
      </c>
      <c r="Q34" s="5">
        <v>38</v>
      </c>
      <c r="R34" s="2">
        <v>102</v>
      </c>
      <c r="S34" s="6">
        <v>1</v>
      </c>
      <c r="T34" s="3">
        <v>103</v>
      </c>
      <c r="U34" s="2">
        <v>92</v>
      </c>
      <c r="V34" s="6">
        <v>1</v>
      </c>
      <c r="W34" s="5">
        <v>93</v>
      </c>
      <c r="X34" s="2">
        <v>68</v>
      </c>
      <c r="Y34" s="6">
        <v>0</v>
      </c>
      <c r="Z34" s="3">
        <v>68</v>
      </c>
      <c r="AA34" s="2">
        <v>88</v>
      </c>
      <c r="AB34" s="6">
        <v>0</v>
      </c>
      <c r="AC34" s="5">
        <v>88</v>
      </c>
      <c r="AD34" s="2">
        <v>43</v>
      </c>
      <c r="AE34" s="6">
        <v>0</v>
      </c>
      <c r="AF34" s="3">
        <v>43</v>
      </c>
      <c r="AG34" s="2">
        <v>44</v>
      </c>
      <c r="AH34" s="6">
        <v>0</v>
      </c>
      <c r="AI34" s="3">
        <v>44</v>
      </c>
    </row>
    <row r="35" spans="2:35" s="7" customFormat="1" x14ac:dyDescent="0.3">
      <c r="B35" s="33" t="s">
        <v>41</v>
      </c>
      <c r="C35" s="4">
        <v>88</v>
      </c>
      <c r="D35" s="6">
        <v>0</v>
      </c>
      <c r="E35" s="5">
        <v>88</v>
      </c>
      <c r="F35" s="2">
        <v>109</v>
      </c>
      <c r="G35" s="6">
        <v>0</v>
      </c>
      <c r="H35" s="3">
        <v>109</v>
      </c>
      <c r="I35" s="4">
        <v>124</v>
      </c>
      <c r="J35" s="6">
        <v>0</v>
      </c>
      <c r="K35" s="5">
        <v>124</v>
      </c>
      <c r="L35" s="2">
        <v>57</v>
      </c>
      <c r="M35" s="6">
        <v>0</v>
      </c>
      <c r="N35" s="3">
        <v>57</v>
      </c>
      <c r="O35" s="4">
        <v>72</v>
      </c>
      <c r="P35" s="6">
        <v>0</v>
      </c>
      <c r="Q35" s="5">
        <v>72</v>
      </c>
      <c r="R35" s="2">
        <v>88</v>
      </c>
      <c r="S35" s="6">
        <v>0</v>
      </c>
      <c r="T35" s="3">
        <v>88</v>
      </c>
      <c r="U35" s="2">
        <v>89</v>
      </c>
      <c r="V35" s="6">
        <v>0</v>
      </c>
      <c r="W35" s="5">
        <v>89</v>
      </c>
      <c r="X35" s="2">
        <v>56</v>
      </c>
      <c r="Y35" s="6">
        <v>0</v>
      </c>
      <c r="Z35" s="3">
        <v>56</v>
      </c>
      <c r="AA35" s="2">
        <v>61</v>
      </c>
      <c r="AB35" s="6">
        <v>0</v>
      </c>
      <c r="AC35" s="5">
        <v>61</v>
      </c>
      <c r="AD35" s="2">
        <v>46</v>
      </c>
      <c r="AE35" s="6">
        <v>0</v>
      </c>
      <c r="AF35" s="3">
        <v>46</v>
      </c>
      <c r="AG35" s="2">
        <v>47</v>
      </c>
      <c r="AH35" s="6">
        <v>0</v>
      </c>
      <c r="AI35" s="3">
        <v>47</v>
      </c>
    </row>
    <row r="36" spans="2:35" s="7" customFormat="1" x14ac:dyDescent="0.3">
      <c r="B36" s="33" t="s">
        <v>42</v>
      </c>
      <c r="C36" s="4">
        <v>55</v>
      </c>
      <c r="D36" s="6">
        <v>0</v>
      </c>
      <c r="E36" s="5">
        <v>55</v>
      </c>
      <c r="F36" s="2">
        <v>72</v>
      </c>
      <c r="G36" s="6">
        <v>0</v>
      </c>
      <c r="H36" s="3">
        <v>72</v>
      </c>
      <c r="I36" s="4">
        <v>86</v>
      </c>
      <c r="J36" s="6">
        <v>0</v>
      </c>
      <c r="K36" s="5">
        <v>86</v>
      </c>
      <c r="L36" s="2">
        <v>73</v>
      </c>
      <c r="M36" s="6">
        <v>0</v>
      </c>
      <c r="N36" s="3">
        <v>73</v>
      </c>
      <c r="O36" s="4">
        <v>84</v>
      </c>
      <c r="P36" s="6">
        <v>0</v>
      </c>
      <c r="Q36" s="5">
        <v>84</v>
      </c>
      <c r="R36" s="2">
        <v>129</v>
      </c>
      <c r="S36" s="6">
        <v>1</v>
      </c>
      <c r="T36" s="3">
        <v>130</v>
      </c>
      <c r="U36" s="2">
        <v>143</v>
      </c>
      <c r="V36" s="6">
        <v>1</v>
      </c>
      <c r="W36" s="5">
        <v>144</v>
      </c>
      <c r="X36" s="2">
        <v>39</v>
      </c>
      <c r="Y36" s="6">
        <v>0</v>
      </c>
      <c r="Z36" s="3">
        <v>39</v>
      </c>
      <c r="AA36" s="2">
        <v>44</v>
      </c>
      <c r="AB36" s="6">
        <v>0</v>
      </c>
      <c r="AC36" s="5">
        <v>44</v>
      </c>
      <c r="AD36" s="2">
        <v>65</v>
      </c>
      <c r="AE36" s="6">
        <v>0</v>
      </c>
      <c r="AF36" s="3">
        <v>65</v>
      </c>
      <c r="AG36" s="2">
        <v>76</v>
      </c>
      <c r="AH36" s="6">
        <v>0</v>
      </c>
      <c r="AI36" s="3">
        <v>76</v>
      </c>
    </row>
    <row r="37" spans="2:35" s="7" customFormat="1" x14ac:dyDescent="0.3">
      <c r="B37" s="33" t="s">
        <v>43</v>
      </c>
      <c r="C37" s="4">
        <v>70</v>
      </c>
      <c r="D37" s="6">
        <v>0</v>
      </c>
      <c r="E37" s="5">
        <v>70</v>
      </c>
      <c r="F37" s="2">
        <v>81</v>
      </c>
      <c r="G37" s="6">
        <v>0</v>
      </c>
      <c r="H37" s="3">
        <v>81</v>
      </c>
      <c r="I37" s="4">
        <v>93</v>
      </c>
      <c r="J37" s="6">
        <v>0</v>
      </c>
      <c r="K37" s="5">
        <v>93</v>
      </c>
      <c r="L37" s="2">
        <v>240</v>
      </c>
      <c r="M37" s="6">
        <v>0</v>
      </c>
      <c r="N37" s="3">
        <v>240</v>
      </c>
      <c r="O37" s="4">
        <v>264</v>
      </c>
      <c r="P37" s="6">
        <v>0</v>
      </c>
      <c r="Q37" s="5">
        <v>264</v>
      </c>
      <c r="R37" s="2">
        <v>138</v>
      </c>
      <c r="S37" s="6">
        <v>0</v>
      </c>
      <c r="T37" s="3">
        <v>138</v>
      </c>
      <c r="U37" s="2">
        <v>124</v>
      </c>
      <c r="V37" s="6">
        <v>0</v>
      </c>
      <c r="W37" s="5">
        <v>124</v>
      </c>
      <c r="X37" s="2">
        <v>46</v>
      </c>
      <c r="Y37" s="6">
        <v>0</v>
      </c>
      <c r="Z37" s="3">
        <v>46</v>
      </c>
      <c r="AA37" s="2">
        <v>52</v>
      </c>
      <c r="AB37" s="6">
        <v>0</v>
      </c>
      <c r="AC37" s="5">
        <v>52</v>
      </c>
      <c r="AD37" s="2">
        <v>65</v>
      </c>
      <c r="AE37" s="6">
        <v>1</v>
      </c>
      <c r="AF37" s="3">
        <v>66</v>
      </c>
      <c r="AG37" s="2">
        <v>61</v>
      </c>
      <c r="AH37" s="6">
        <v>1</v>
      </c>
      <c r="AI37" s="3">
        <v>62</v>
      </c>
    </row>
    <row r="38" spans="2:35" s="7" customFormat="1" ht="17.25" thickBot="1" x14ac:dyDescent="0.35">
      <c r="B38" s="34" t="s">
        <v>44</v>
      </c>
      <c r="C38" s="35">
        <v>38</v>
      </c>
      <c r="D38" s="36">
        <v>0</v>
      </c>
      <c r="E38" s="37">
        <v>38</v>
      </c>
      <c r="F38" s="38">
        <v>43</v>
      </c>
      <c r="G38" s="36">
        <v>0</v>
      </c>
      <c r="H38" s="39">
        <v>43</v>
      </c>
      <c r="I38" s="35">
        <v>47</v>
      </c>
      <c r="J38" s="36">
        <v>0</v>
      </c>
      <c r="K38" s="37">
        <v>47</v>
      </c>
      <c r="L38" s="38">
        <v>35</v>
      </c>
      <c r="M38" s="36">
        <v>0</v>
      </c>
      <c r="N38" s="39">
        <v>35</v>
      </c>
      <c r="O38" s="35">
        <v>43</v>
      </c>
      <c r="P38" s="36">
        <v>0</v>
      </c>
      <c r="Q38" s="37">
        <v>43</v>
      </c>
      <c r="R38" s="38">
        <v>19</v>
      </c>
      <c r="S38" s="36">
        <v>0</v>
      </c>
      <c r="T38" s="39">
        <v>19</v>
      </c>
      <c r="U38" s="38">
        <v>18</v>
      </c>
      <c r="V38" s="36">
        <v>0</v>
      </c>
      <c r="W38" s="37">
        <v>18</v>
      </c>
      <c r="X38" s="38">
        <v>35</v>
      </c>
      <c r="Y38" s="36">
        <v>2</v>
      </c>
      <c r="Z38" s="39">
        <v>37</v>
      </c>
      <c r="AA38" s="38">
        <v>46</v>
      </c>
      <c r="AB38" s="36">
        <v>2</v>
      </c>
      <c r="AC38" s="37">
        <v>48</v>
      </c>
      <c r="AD38" s="38">
        <v>21</v>
      </c>
      <c r="AE38" s="36">
        <v>0</v>
      </c>
      <c r="AF38" s="39">
        <v>21</v>
      </c>
      <c r="AG38" s="38">
        <v>20</v>
      </c>
      <c r="AH38" s="36">
        <v>0</v>
      </c>
      <c r="AI38" s="39">
        <v>20</v>
      </c>
    </row>
    <row r="39" spans="2:35" x14ac:dyDescent="0.3">
      <c r="B39"/>
    </row>
    <row r="40" spans="2:35" x14ac:dyDescent="0.3">
      <c r="B40"/>
    </row>
    <row r="41" spans="2:35" x14ac:dyDescent="0.3">
      <c r="B41" t="s">
        <v>97</v>
      </c>
      <c r="C41" t="s">
        <v>24</v>
      </c>
      <c r="D41" t="s">
        <v>98</v>
      </c>
      <c r="E41" t="s">
        <v>99</v>
      </c>
      <c r="F41" t="s">
        <v>100</v>
      </c>
      <c r="G41" t="s">
        <v>101</v>
      </c>
    </row>
    <row r="42" spans="2:35" x14ac:dyDescent="0.3">
      <c r="B42" t="s">
        <v>102</v>
      </c>
      <c r="C42" t="s">
        <v>27</v>
      </c>
      <c r="D42">
        <v>3325</v>
      </c>
      <c r="E42" t="s">
        <v>103</v>
      </c>
      <c r="F42" t="s">
        <v>104</v>
      </c>
      <c r="G42">
        <v>2025</v>
      </c>
    </row>
    <row r="43" spans="2:35" x14ac:dyDescent="0.3">
      <c r="B43" t="s">
        <v>102</v>
      </c>
      <c r="C43" t="s">
        <v>36</v>
      </c>
      <c r="D43">
        <v>1109</v>
      </c>
      <c r="E43" t="s">
        <v>105</v>
      </c>
      <c r="F43" t="s">
        <v>106</v>
      </c>
      <c r="G43">
        <v>2025</v>
      </c>
    </row>
    <row r="44" spans="2:35" x14ac:dyDescent="0.3">
      <c r="B44" t="s">
        <v>102</v>
      </c>
      <c r="C44" t="s">
        <v>28</v>
      </c>
      <c r="D44">
        <v>796</v>
      </c>
      <c r="E44" t="s">
        <v>107</v>
      </c>
      <c r="F44" t="s">
        <v>108</v>
      </c>
      <c r="G44">
        <v>2025</v>
      </c>
    </row>
    <row r="45" spans="2:35" x14ac:dyDescent="0.3">
      <c r="B45" t="s">
        <v>102</v>
      </c>
      <c r="C45" t="s">
        <v>31</v>
      </c>
      <c r="D45">
        <v>294</v>
      </c>
      <c r="E45" t="s">
        <v>109</v>
      </c>
      <c r="F45" t="s">
        <v>110</v>
      </c>
      <c r="G45">
        <v>2025</v>
      </c>
    </row>
    <row r="46" spans="2:35" x14ac:dyDescent="0.3">
      <c r="B46" t="s">
        <v>102</v>
      </c>
      <c r="C46" t="s">
        <v>32</v>
      </c>
      <c r="D46">
        <v>141</v>
      </c>
      <c r="E46" t="s">
        <v>111</v>
      </c>
      <c r="F46" t="s">
        <v>112</v>
      </c>
      <c r="G46">
        <v>2025</v>
      </c>
    </row>
    <row r="47" spans="2:35" x14ac:dyDescent="0.3">
      <c r="B47" t="s">
        <v>102</v>
      </c>
      <c r="C47" t="s">
        <v>39</v>
      </c>
      <c r="D47">
        <v>116</v>
      </c>
      <c r="E47" t="s">
        <v>113</v>
      </c>
      <c r="F47" t="s">
        <v>114</v>
      </c>
      <c r="G47">
        <v>2025</v>
      </c>
    </row>
    <row r="48" spans="2:35" x14ac:dyDescent="0.3">
      <c r="B48" t="s">
        <v>102</v>
      </c>
      <c r="C48" t="s">
        <v>41</v>
      </c>
      <c r="D48">
        <v>109</v>
      </c>
      <c r="E48" t="s">
        <v>103</v>
      </c>
      <c r="F48" t="s">
        <v>112</v>
      </c>
      <c r="G48">
        <v>2025</v>
      </c>
    </row>
    <row r="49" spans="2:7" x14ac:dyDescent="0.3">
      <c r="B49" t="s">
        <v>102</v>
      </c>
      <c r="C49" t="s">
        <v>38</v>
      </c>
      <c r="D49">
        <v>106</v>
      </c>
      <c r="E49" t="s">
        <v>103</v>
      </c>
      <c r="F49" t="s">
        <v>115</v>
      </c>
      <c r="G49">
        <v>2025</v>
      </c>
    </row>
    <row r="50" spans="2:7" x14ac:dyDescent="0.3">
      <c r="B50" t="s">
        <v>102</v>
      </c>
      <c r="C50" t="s">
        <v>37</v>
      </c>
      <c r="D50">
        <v>104</v>
      </c>
      <c r="E50" t="s">
        <v>116</v>
      </c>
      <c r="F50" t="s">
        <v>115</v>
      </c>
      <c r="G50">
        <v>2025</v>
      </c>
    </row>
    <row r="51" spans="2:7" x14ac:dyDescent="0.3">
      <c r="B51" t="s">
        <v>102</v>
      </c>
      <c r="C51" t="s">
        <v>29</v>
      </c>
      <c r="D51">
        <v>103</v>
      </c>
      <c r="E51" t="s">
        <v>117</v>
      </c>
      <c r="F51" t="s">
        <v>118</v>
      </c>
      <c r="G51">
        <v>2025</v>
      </c>
    </row>
    <row r="52" spans="2:7" x14ac:dyDescent="0.3">
      <c r="B52" t="s">
        <v>102</v>
      </c>
      <c r="C52" t="s">
        <v>33</v>
      </c>
      <c r="D52">
        <v>88</v>
      </c>
      <c r="E52" t="s">
        <v>119</v>
      </c>
      <c r="F52" t="s">
        <v>118</v>
      </c>
      <c r="G52">
        <v>2025</v>
      </c>
    </row>
    <row r="53" spans="2:7" x14ac:dyDescent="0.3">
      <c r="B53" t="s">
        <v>102</v>
      </c>
      <c r="C53" t="s">
        <v>43</v>
      </c>
      <c r="D53">
        <v>81</v>
      </c>
      <c r="E53" t="s">
        <v>120</v>
      </c>
      <c r="F53" t="s">
        <v>121</v>
      </c>
      <c r="G53">
        <v>2025</v>
      </c>
    </row>
    <row r="54" spans="2:7" x14ac:dyDescent="0.3">
      <c r="B54" t="s">
        <v>102</v>
      </c>
      <c r="C54" t="s">
        <v>40</v>
      </c>
      <c r="D54">
        <v>72</v>
      </c>
      <c r="E54" t="s">
        <v>122</v>
      </c>
      <c r="F54" t="s">
        <v>121</v>
      </c>
      <c r="G54">
        <v>2025</v>
      </c>
    </row>
    <row r="55" spans="2:7" x14ac:dyDescent="0.3">
      <c r="B55" t="s">
        <v>102</v>
      </c>
      <c r="C55" t="s">
        <v>42</v>
      </c>
      <c r="D55">
        <v>72</v>
      </c>
      <c r="E55" t="s">
        <v>123</v>
      </c>
      <c r="F55" t="s">
        <v>121</v>
      </c>
      <c r="G55">
        <v>2025</v>
      </c>
    </row>
    <row r="56" spans="2:7" x14ac:dyDescent="0.3">
      <c r="B56" t="s">
        <v>102</v>
      </c>
      <c r="C56" t="s">
        <v>30</v>
      </c>
      <c r="D56">
        <v>56</v>
      </c>
      <c r="E56" t="s">
        <v>124</v>
      </c>
      <c r="F56" t="s">
        <v>125</v>
      </c>
      <c r="G56">
        <v>2025</v>
      </c>
    </row>
    <row r="57" spans="2:7" x14ac:dyDescent="0.3">
      <c r="B57" t="s">
        <v>102</v>
      </c>
      <c r="C57" t="s">
        <v>44</v>
      </c>
      <c r="D57">
        <v>43</v>
      </c>
      <c r="E57" t="s">
        <v>126</v>
      </c>
      <c r="F57" t="s">
        <v>121</v>
      </c>
      <c r="G57">
        <v>2025</v>
      </c>
    </row>
    <row r="58" spans="2:7" x14ac:dyDescent="0.3">
      <c r="B58" t="s">
        <v>102</v>
      </c>
      <c r="C58" t="s">
        <v>35</v>
      </c>
      <c r="D58">
        <v>20</v>
      </c>
      <c r="E58" t="s">
        <v>111</v>
      </c>
      <c r="F58" t="s">
        <v>118</v>
      </c>
      <c r="G58">
        <v>2025</v>
      </c>
    </row>
    <row r="59" spans="2:7" x14ac:dyDescent="0.3">
      <c r="B59" t="s">
        <v>102</v>
      </c>
      <c r="C59" t="s">
        <v>34</v>
      </c>
      <c r="D59">
        <v>15</v>
      </c>
      <c r="E59" t="s">
        <v>124</v>
      </c>
      <c r="F59" t="s">
        <v>127</v>
      </c>
      <c r="G59">
        <v>2025</v>
      </c>
    </row>
    <row r="60" spans="2:7" x14ac:dyDescent="0.3">
      <c r="B60" t="s">
        <v>128</v>
      </c>
      <c r="C60" t="s">
        <v>27</v>
      </c>
      <c r="D60">
        <v>2649</v>
      </c>
      <c r="E60" t="s">
        <v>129</v>
      </c>
      <c r="F60" t="s">
        <v>112</v>
      </c>
      <c r="G60">
        <v>2025</v>
      </c>
    </row>
    <row r="61" spans="2:7" x14ac:dyDescent="0.3">
      <c r="B61" t="s">
        <v>128</v>
      </c>
      <c r="C61" t="s">
        <v>36</v>
      </c>
      <c r="D61">
        <v>663</v>
      </c>
      <c r="E61" t="s">
        <v>130</v>
      </c>
      <c r="F61" t="s">
        <v>115</v>
      </c>
      <c r="G61">
        <v>2025</v>
      </c>
    </row>
    <row r="62" spans="2:7" x14ac:dyDescent="0.3">
      <c r="B62" t="s">
        <v>128</v>
      </c>
      <c r="C62" t="s">
        <v>28</v>
      </c>
      <c r="D62">
        <v>456</v>
      </c>
      <c r="E62" t="s">
        <v>124</v>
      </c>
      <c r="F62" t="s">
        <v>131</v>
      </c>
      <c r="G62">
        <v>2025</v>
      </c>
    </row>
    <row r="63" spans="2:7" x14ac:dyDescent="0.3">
      <c r="B63" t="s">
        <v>128</v>
      </c>
      <c r="C63" t="s">
        <v>29</v>
      </c>
      <c r="D63">
        <v>264</v>
      </c>
      <c r="E63" t="s">
        <v>129</v>
      </c>
      <c r="F63" t="s">
        <v>115</v>
      </c>
      <c r="G63">
        <v>2025</v>
      </c>
    </row>
    <row r="64" spans="2:7" x14ac:dyDescent="0.3">
      <c r="B64" t="s">
        <v>128</v>
      </c>
      <c r="C64" t="s">
        <v>43</v>
      </c>
      <c r="D64">
        <v>264</v>
      </c>
      <c r="E64" t="s">
        <v>129</v>
      </c>
      <c r="F64" t="s">
        <v>132</v>
      </c>
      <c r="G64">
        <v>2025</v>
      </c>
    </row>
    <row r="65" spans="2:7" x14ac:dyDescent="0.3">
      <c r="B65" t="s">
        <v>128</v>
      </c>
      <c r="C65" t="s">
        <v>31</v>
      </c>
      <c r="D65">
        <v>239</v>
      </c>
      <c r="E65" t="s">
        <v>130</v>
      </c>
      <c r="F65" t="s">
        <v>112</v>
      </c>
      <c r="G65">
        <v>2025</v>
      </c>
    </row>
    <row r="66" spans="2:7" x14ac:dyDescent="0.3">
      <c r="B66" t="s">
        <v>128</v>
      </c>
      <c r="C66" t="s">
        <v>32</v>
      </c>
      <c r="D66">
        <v>160</v>
      </c>
      <c r="E66" t="s">
        <v>124</v>
      </c>
      <c r="F66" t="s">
        <v>133</v>
      </c>
      <c r="G66">
        <v>2025</v>
      </c>
    </row>
    <row r="67" spans="2:7" x14ac:dyDescent="0.3">
      <c r="B67" t="s">
        <v>128</v>
      </c>
      <c r="C67" t="s">
        <v>37</v>
      </c>
      <c r="D67">
        <v>86</v>
      </c>
      <c r="E67" t="s">
        <v>123</v>
      </c>
      <c r="F67" t="s">
        <v>121</v>
      </c>
      <c r="G67">
        <v>2025</v>
      </c>
    </row>
    <row r="68" spans="2:7" x14ac:dyDescent="0.3">
      <c r="B68" t="s">
        <v>128</v>
      </c>
      <c r="C68" t="s">
        <v>42</v>
      </c>
      <c r="D68">
        <v>84</v>
      </c>
      <c r="E68" t="s">
        <v>134</v>
      </c>
      <c r="F68" t="s">
        <v>135</v>
      </c>
      <c r="G68">
        <v>2025</v>
      </c>
    </row>
    <row r="69" spans="2:7" x14ac:dyDescent="0.3">
      <c r="B69" t="s">
        <v>128</v>
      </c>
      <c r="C69" t="s">
        <v>41</v>
      </c>
      <c r="D69">
        <v>72</v>
      </c>
      <c r="E69" t="s">
        <v>129</v>
      </c>
      <c r="F69" t="s">
        <v>127</v>
      </c>
      <c r="G69">
        <v>2025</v>
      </c>
    </row>
    <row r="70" spans="2:7" x14ac:dyDescent="0.3">
      <c r="B70" t="s">
        <v>128</v>
      </c>
      <c r="C70" t="s">
        <v>39</v>
      </c>
      <c r="D70">
        <v>69</v>
      </c>
      <c r="E70" t="s">
        <v>126</v>
      </c>
      <c r="F70" t="s">
        <v>112</v>
      </c>
      <c r="G70">
        <v>2025</v>
      </c>
    </row>
    <row r="71" spans="2:7" x14ac:dyDescent="0.3">
      <c r="B71" t="s">
        <v>128</v>
      </c>
      <c r="C71" t="s">
        <v>30</v>
      </c>
      <c r="D71">
        <v>58</v>
      </c>
      <c r="E71" t="s">
        <v>136</v>
      </c>
      <c r="F71" t="s">
        <v>121</v>
      </c>
      <c r="G71">
        <v>2025</v>
      </c>
    </row>
    <row r="72" spans="2:7" x14ac:dyDescent="0.3">
      <c r="B72" t="s">
        <v>128</v>
      </c>
      <c r="C72" t="s">
        <v>33</v>
      </c>
      <c r="D72">
        <v>53</v>
      </c>
      <c r="E72" t="s">
        <v>124</v>
      </c>
      <c r="F72" t="s">
        <v>121</v>
      </c>
      <c r="G72">
        <v>2025</v>
      </c>
    </row>
    <row r="73" spans="2:7" x14ac:dyDescent="0.3">
      <c r="B73" t="s">
        <v>128</v>
      </c>
      <c r="C73" t="s">
        <v>34</v>
      </c>
      <c r="D73">
        <v>48</v>
      </c>
      <c r="E73" t="s">
        <v>130</v>
      </c>
      <c r="F73" t="s">
        <v>125</v>
      </c>
      <c r="G73">
        <v>2025</v>
      </c>
    </row>
    <row r="74" spans="2:7" x14ac:dyDescent="0.3">
      <c r="B74" t="s">
        <v>128</v>
      </c>
      <c r="C74" t="s">
        <v>44</v>
      </c>
      <c r="D74">
        <v>43</v>
      </c>
      <c r="E74" t="s">
        <v>137</v>
      </c>
      <c r="F74" t="s">
        <v>138</v>
      </c>
      <c r="G74">
        <v>2025</v>
      </c>
    </row>
    <row r="75" spans="2:7" x14ac:dyDescent="0.3">
      <c r="B75" t="s">
        <v>128</v>
      </c>
      <c r="C75" t="s">
        <v>38</v>
      </c>
      <c r="D75">
        <v>42</v>
      </c>
      <c r="E75" t="s">
        <v>139</v>
      </c>
      <c r="F75" t="s">
        <v>133</v>
      </c>
      <c r="G75">
        <v>2025</v>
      </c>
    </row>
    <row r="76" spans="2:7" x14ac:dyDescent="0.3">
      <c r="B76" t="s">
        <v>128</v>
      </c>
      <c r="C76" t="s">
        <v>40</v>
      </c>
      <c r="D76">
        <v>38</v>
      </c>
      <c r="E76" t="s">
        <v>123</v>
      </c>
      <c r="F76" t="s">
        <v>121</v>
      </c>
      <c r="G76">
        <v>2025</v>
      </c>
    </row>
    <row r="77" spans="2:7" x14ac:dyDescent="0.3">
      <c r="B77" t="s">
        <v>128</v>
      </c>
      <c r="C77" t="s">
        <v>35</v>
      </c>
      <c r="D77">
        <v>10</v>
      </c>
      <c r="E77" t="s">
        <v>140</v>
      </c>
      <c r="F77" t="s">
        <v>133</v>
      </c>
      <c r="G77">
        <v>2025</v>
      </c>
    </row>
    <row r="78" spans="2:7" x14ac:dyDescent="0.3">
      <c r="B78" t="s">
        <v>73</v>
      </c>
      <c r="C78" t="s">
        <v>27</v>
      </c>
      <c r="D78">
        <v>2562</v>
      </c>
      <c r="E78" t="s">
        <v>141</v>
      </c>
      <c r="F78" t="s">
        <v>142</v>
      </c>
      <c r="G78">
        <v>2025</v>
      </c>
    </row>
    <row r="79" spans="2:7" x14ac:dyDescent="0.3">
      <c r="B79" t="s">
        <v>73</v>
      </c>
      <c r="C79" t="s">
        <v>36</v>
      </c>
      <c r="D79">
        <v>642</v>
      </c>
      <c r="E79" t="s">
        <v>141</v>
      </c>
      <c r="F79" t="s">
        <v>143</v>
      </c>
      <c r="G79">
        <v>2025</v>
      </c>
    </row>
    <row r="80" spans="2:7" x14ac:dyDescent="0.3">
      <c r="B80" t="s">
        <v>73</v>
      </c>
      <c r="C80" t="s">
        <v>28</v>
      </c>
      <c r="D80">
        <v>510</v>
      </c>
      <c r="E80" t="s">
        <v>144</v>
      </c>
      <c r="F80" t="s">
        <v>145</v>
      </c>
      <c r="G80">
        <v>2025</v>
      </c>
    </row>
    <row r="81" spans="2:7" x14ac:dyDescent="0.3">
      <c r="B81" t="s">
        <v>73</v>
      </c>
      <c r="C81" t="s">
        <v>37</v>
      </c>
      <c r="D81">
        <v>145</v>
      </c>
      <c r="E81" t="s">
        <v>146</v>
      </c>
      <c r="F81" t="s">
        <v>147</v>
      </c>
      <c r="G81">
        <v>2025</v>
      </c>
    </row>
    <row r="82" spans="2:7" x14ac:dyDescent="0.3">
      <c r="B82" t="s">
        <v>73</v>
      </c>
      <c r="C82" t="s">
        <v>42</v>
      </c>
      <c r="D82">
        <v>143</v>
      </c>
      <c r="E82" t="s">
        <v>141</v>
      </c>
      <c r="F82" t="s">
        <v>148</v>
      </c>
      <c r="G82">
        <v>2025</v>
      </c>
    </row>
    <row r="83" spans="2:7" x14ac:dyDescent="0.3">
      <c r="B83" t="s">
        <v>73</v>
      </c>
      <c r="C83" t="s">
        <v>31</v>
      </c>
      <c r="D83">
        <v>138</v>
      </c>
      <c r="E83" t="s">
        <v>149</v>
      </c>
      <c r="F83" t="s">
        <v>150</v>
      </c>
      <c r="G83">
        <v>2025</v>
      </c>
    </row>
    <row r="84" spans="2:7" x14ac:dyDescent="0.3">
      <c r="B84" t="s">
        <v>73</v>
      </c>
      <c r="C84" t="s">
        <v>29</v>
      </c>
      <c r="D84">
        <v>134</v>
      </c>
      <c r="E84" t="s">
        <v>151</v>
      </c>
      <c r="F84" t="s">
        <v>152</v>
      </c>
      <c r="G84">
        <v>2025</v>
      </c>
    </row>
    <row r="85" spans="2:7" x14ac:dyDescent="0.3">
      <c r="B85" t="s">
        <v>73</v>
      </c>
      <c r="C85" t="s">
        <v>43</v>
      </c>
      <c r="D85">
        <v>124</v>
      </c>
      <c r="E85" t="s">
        <v>151</v>
      </c>
      <c r="F85" t="s">
        <v>153</v>
      </c>
      <c r="G85">
        <v>2025</v>
      </c>
    </row>
    <row r="86" spans="2:7" x14ac:dyDescent="0.3">
      <c r="B86" t="s">
        <v>73</v>
      </c>
      <c r="C86" t="s">
        <v>30</v>
      </c>
      <c r="D86">
        <v>105</v>
      </c>
      <c r="E86" t="s">
        <v>154</v>
      </c>
      <c r="F86" t="s">
        <v>155</v>
      </c>
      <c r="G86">
        <v>2025</v>
      </c>
    </row>
    <row r="87" spans="2:7" x14ac:dyDescent="0.3">
      <c r="B87" t="s">
        <v>73</v>
      </c>
      <c r="C87" t="s">
        <v>39</v>
      </c>
      <c r="D87">
        <v>96</v>
      </c>
      <c r="E87" t="s">
        <v>120</v>
      </c>
      <c r="F87" t="s">
        <v>156</v>
      </c>
      <c r="G87">
        <v>2025</v>
      </c>
    </row>
    <row r="88" spans="2:7" x14ac:dyDescent="0.3">
      <c r="B88" t="s">
        <v>73</v>
      </c>
      <c r="C88" t="s">
        <v>38</v>
      </c>
      <c r="D88">
        <v>94</v>
      </c>
      <c r="E88" t="s">
        <v>141</v>
      </c>
      <c r="F88" t="s">
        <v>157</v>
      </c>
      <c r="G88">
        <v>2025</v>
      </c>
    </row>
    <row r="89" spans="2:7" x14ac:dyDescent="0.3">
      <c r="B89" t="s">
        <v>73</v>
      </c>
      <c r="C89" t="s">
        <v>40</v>
      </c>
      <c r="D89">
        <v>92</v>
      </c>
      <c r="E89" t="s">
        <v>154</v>
      </c>
      <c r="F89" t="s">
        <v>158</v>
      </c>
      <c r="G89">
        <v>2025</v>
      </c>
    </row>
    <row r="90" spans="2:7" x14ac:dyDescent="0.3">
      <c r="B90" t="s">
        <v>73</v>
      </c>
      <c r="C90" t="s">
        <v>34</v>
      </c>
      <c r="D90">
        <v>90</v>
      </c>
      <c r="E90" t="s">
        <v>159</v>
      </c>
      <c r="F90" t="s">
        <v>160</v>
      </c>
      <c r="G90">
        <v>2025</v>
      </c>
    </row>
    <row r="91" spans="2:7" x14ac:dyDescent="0.3">
      <c r="B91" t="s">
        <v>73</v>
      </c>
      <c r="C91" t="s">
        <v>41</v>
      </c>
      <c r="D91">
        <v>89</v>
      </c>
      <c r="E91" t="s">
        <v>136</v>
      </c>
      <c r="F91" t="s">
        <v>161</v>
      </c>
      <c r="G91">
        <v>2025</v>
      </c>
    </row>
    <row r="92" spans="2:7" x14ac:dyDescent="0.3">
      <c r="B92" t="s">
        <v>73</v>
      </c>
      <c r="C92" t="s">
        <v>32</v>
      </c>
      <c r="D92">
        <v>68</v>
      </c>
      <c r="E92" t="s">
        <v>162</v>
      </c>
      <c r="F92" t="s">
        <v>163</v>
      </c>
      <c r="G92">
        <v>2025</v>
      </c>
    </row>
    <row r="93" spans="2:7" x14ac:dyDescent="0.3">
      <c r="B93" t="s">
        <v>73</v>
      </c>
      <c r="C93" t="s">
        <v>33</v>
      </c>
      <c r="D93">
        <v>55</v>
      </c>
      <c r="E93" t="s">
        <v>149</v>
      </c>
      <c r="F93" t="s">
        <v>157</v>
      </c>
      <c r="G93">
        <v>2025</v>
      </c>
    </row>
    <row r="94" spans="2:7" x14ac:dyDescent="0.3">
      <c r="B94" t="s">
        <v>73</v>
      </c>
      <c r="C94" t="s">
        <v>35</v>
      </c>
      <c r="D94">
        <v>19</v>
      </c>
      <c r="E94" t="s">
        <v>164</v>
      </c>
      <c r="F94" t="s">
        <v>150</v>
      </c>
      <c r="G94">
        <v>2025</v>
      </c>
    </row>
    <row r="95" spans="2:7" x14ac:dyDescent="0.3">
      <c r="B95" t="s">
        <v>73</v>
      </c>
      <c r="C95" t="s">
        <v>44</v>
      </c>
      <c r="D95">
        <v>18</v>
      </c>
      <c r="E95" t="s">
        <v>165</v>
      </c>
      <c r="F95" t="s">
        <v>166</v>
      </c>
      <c r="G95">
        <v>2025</v>
      </c>
    </row>
    <row r="96" spans="2:7" x14ac:dyDescent="0.3">
      <c r="B96" t="s">
        <v>79</v>
      </c>
      <c r="C96" t="s">
        <v>27</v>
      </c>
      <c r="D96">
        <v>1712</v>
      </c>
      <c r="E96" t="s">
        <v>122</v>
      </c>
      <c r="F96" t="s">
        <v>167</v>
      </c>
      <c r="G96">
        <v>2025</v>
      </c>
    </row>
    <row r="97" spans="2:7" x14ac:dyDescent="0.3">
      <c r="B97" t="s">
        <v>79</v>
      </c>
      <c r="C97" t="s">
        <v>36</v>
      </c>
      <c r="D97">
        <v>440</v>
      </c>
      <c r="E97" t="s">
        <v>126</v>
      </c>
      <c r="F97" t="s">
        <v>114</v>
      </c>
      <c r="G97">
        <v>2025</v>
      </c>
    </row>
    <row r="98" spans="2:7" x14ac:dyDescent="0.3">
      <c r="B98" t="s">
        <v>79</v>
      </c>
      <c r="C98" t="s">
        <v>28</v>
      </c>
      <c r="D98">
        <v>359</v>
      </c>
      <c r="E98" t="s">
        <v>116</v>
      </c>
      <c r="F98" t="s">
        <v>168</v>
      </c>
      <c r="G98">
        <v>2025</v>
      </c>
    </row>
    <row r="99" spans="2:7" x14ac:dyDescent="0.3">
      <c r="B99" t="s">
        <v>79</v>
      </c>
      <c r="C99" t="s">
        <v>31</v>
      </c>
      <c r="D99">
        <v>143</v>
      </c>
      <c r="E99" t="s">
        <v>169</v>
      </c>
      <c r="F99" t="s">
        <v>170</v>
      </c>
      <c r="G99">
        <v>2025</v>
      </c>
    </row>
    <row r="100" spans="2:7" x14ac:dyDescent="0.3">
      <c r="B100" t="s">
        <v>79</v>
      </c>
      <c r="C100" t="s">
        <v>33</v>
      </c>
      <c r="D100">
        <v>112</v>
      </c>
      <c r="E100" t="s">
        <v>171</v>
      </c>
      <c r="F100" t="s">
        <v>131</v>
      </c>
      <c r="G100">
        <v>2025</v>
      </c>
    </row>
    <row r="101" spans="2:7" x14ac:dyDescent="0.3">
      <c r="B101" t="s">
        <v>79</v>
      </c>
      <c r="C101" t="s">
        <v>39</v>
      </c>
      <c r="D101">
        <v>93</v>
      </c>
      <c r="E101" t="s">
        <v>116</v>
      </c>
      <c r="F101" t="s">
        <v>172</v>
      </c>
      <c r="G101">
        <v>2025</v>
      </c>
    </row>
    <row r="102" spans="2:7" x14ac:dyDescent="0.3">
      <c r="B102" t="s">
        <v>79</v>
      </c>
      <c r="C102" t="s">
        <v>40</v>
      </c>
      <c r="D102">
        <v>88</v>
      </c>
      <c r="E102" t="s">
        <v>171</v>
      </c>
      <c r="F102" t="s">
        <v>125</v>
      </c>
      <c r="G102">
        <v>2025</v>
      </c>
    </row>
    <row r="103" spans="2:7" x14ac:dyDescent="0.3">
      <c r="B103" t="s">
        <v>79</v>
      </c>
      <c r="C103" t="s">
        <v>30</v>
      </c>
      <c r="D103">
        <v>79</v>
      </c>
      <c r="E103" t="s">
        <v>124</v>
      </c>
      <c r="F103" t="s">
        <v>115</v>
      </c>
      <c r="G103">
        <v>2025</v>
      </c>
    </row>
    <row r="104" spans="2:7" x14ac:dyDescent="0.3">
      <c r="B104" t="s">
        <v>79</v>
      </c>
      <c r="C104" t="s">
        <v>41</v>
      </c>
      <c r="D104">
        <v>61</v>
      </c>
      <c r="E104" t="s">
        <v>116</v>
      </c>
      <c r="F104" t="s">
        <v>125</v>
      </c>
      <c r="G104">
        <v>2025</v>
      </c>
    </row>
    <row r="105" spans="2:7" x14ac:dyDescent="0.3">
      <c r="B105" t="s">
        <v>79</v>
      </c>
      <c r="C105" t="s">
        <v>43</v>
      </c>
      <c r="D105">
        <v>52</v>
      </c>
      <c r="E105" t="s">
        <v>124</v>
      </c>
      <c r="F105" t="s">
        <v>172</v>
      </c>
      <c r="G105">
        <v>2025</v>
      </c>
    </row>
    <row r="106" spans="2:7" x14ac:dyDescent="0.3">
      <c r="B106" t="s">
        <v>79</v>
      </c>
      <c r="C106" t="s">
        <v>37</v>
      </c>
      <c r="D106">
        <v>51</v>
      </c>
      <c r="E106" t="s">
        <v>111</v>
      </c>
      <c r="F106" t="s">
        <v>172</v>
      </c>
      <c r="G106">
        <v>2025</v>
      </c>
    </row>
    <row r="107" spans="2:7" x14ac:dyDescent="0.3">
      <c r="B107" t="s">
        <v>79</v>
      </c>
      <c r="C107" t="s">
        <v>38</v>
      </c>
      <c r="D107">
        <v>50</v>
      </c>
      <c r="E107" t="s">
        <v>122</v>
      </c>
      <c r="F107" t="s">
        <v>127</v>
      </c>
      <c r="G107">
        <v>2025</v>
      </c>
    </row>
    <row r="108" spans="2:7" x14ac:dyDescent="0.3">
      <c r="B108" t="s">
        <v>79</v>
      </c>
      <c r="C108" t="s">
        <v>44</v>
      </c>
      <c r="D108">
        <v>46</v>
      </c>
      <c r="E108" t="s">
        <v>130</v>
      </c>
      <c r="F108" t="s">
        <v>173</v>
      </c>
      <c r="G108">
        <v>2025</v>
      </c>
    </row>
    <row r="109" spans="2:7" x14ac:dyDescent="0.3">
      <c r="B109" t="s">
        <v>79</v>
      </c>
      <c r="C109" t="s">
        <v>42</v>
      </c>
      <c r="D109">
        <v>44</v>
      </c>
      <c r="E109" t="s">
        <v>174</v>
      </c>
      <c r="F109" t="s">
        <v>125</v>
      </c>
      <c r="G109">
        <v>2025</v>
      </c>
    </row>
    <row r="110" spans="2:7" x14ac:dyDescent="0.3">
      <c r="B110" t="s">
        <v>79</v>
      </c>
      <c r="C110" t="s">
        <v>29</v>
      </c>
      <c r="D110">
        <v>34</v>
      </c>
      <c r="E110" t="s">
        <v>175</v>
      </c>
      <c r="F110" t="s">
        <v>132</v>
      </c>
      <c r="G110">
        <v>2025</v>
      </c>
    </row>
    <row r="111" spans="2:7" x14ac:dyDescent="0.3">
      <c r="B111" t="s">
        <v>79</v>
      </c>
      <c r="C111" t="s">
        <v>35</v>
      </c>
      <c r="D111">
        <v>27</v>
      </c>
      <c r="E111" t="s">
        <v>116</v>
      </c>
      <c r="F111" t="s">
        <v>167</v>
      </c>
      <c r="G111">
        <v>2025</v>
      </c>
    </row>
    <row r="112" spans="2:7" x14ac:dyDescent="0.3">
      <c r="B112" t="s">
        <v>79</v>
      </c>
      <c r="C112" t="s">
        <v>32</v>
      </c>
      <c r="D112">
        <v>23</v>
      </c>
      <c r="E112" t="s">
        <v>176</v>
      </c>
      <c r="F112" t="s">
        <v>125</v>
      </c>
      <c r="G112">
        <v>2025</v>
      </c>
    </row>
    <row r="113" spans="2:7" x14ac:dyDescent="0.3">
      <c r="B113" t="s">
        <v>79</v>
      </c>
      <c r="C113" t="s">
        <v>34</v>
      </c>
      <c r="D113">
        <v>10</v>
      </c>
      <c r="E113" t="s">
        <v>120</v>
      </c>
      <c r="F113" t="s">
        <v>132</v>
      </c>
      <c r="G113">
        <v>2025</v>
      </c>
    </row>
    <row r="114" spans="2:7" x14ac:dyDescent="0.3">
      <c r="B114" t="s">
        <v>83</v>
      </c>
      <c r="C114" t="s">
        <v>27</v>
      </c>
      <c r="D114">
        <v>1510</v>
      </c>
      <c r="E114" t="s">
        <v>177</v>
      </c>
      <c r="F114" t="s">
        <v>178</v>
      </c>
      <c r="G114">
        <v>2025</v>
      </c>
    </row>
    <row r="115" spans="2:7" x14ac:dyDescent="0.3">
      <c r="B115" t="s">
        <v>83</v>
      </c>
      <c r="C115" t="s">
        <v>36</v>
      </c>
      <c r="D115">
        <v>376</v>
      </c>
      <c r="E115" t="s">
        <v>179</v>
      </c>
      <c r="F115" t="s">
        <v>178</v>
      </c>
      <c r="G115">
        <v>2025</v>
      </c>
    </row>
    <row r="116" spans="2:7" x14ac:dyDescent="0.3">
      <c r="B116" t="s">
        <v>83</v>
      </c>
      <c r="C116" t="s">
        <v>28</v>
      </c>
      <c r="D116">
        <v>279</v>
      </c>
      <c r="E116" t="s">
        <v>180</v>
      </c>
      <c r="F116" t="s">
        <v>127</v>
      </c>
      <c r="G116">
        <v>2025</v>
      </c>
    </row>
    <row r="117" spans="2:7" x14ac:dyDescent="0.3">
      <c r="B117" t="s">
        <v>83</v>
      </c>
      <c r="C117" t="s">
        <v>30</v>
      </c>
      <c r="D117">
        <v>97</v>
      </c>
      <c r="E117" t="s">
        <v>181</v>
      </c>
      <c r="F117" t="s">
        <v>182</v>
      </c>
      <c r="G117">
        <v>2025</v>
      </c>
    </row>
    <row r="118" spans="2:7" x14ac:dyDescent="0.3">
      <c r="B118" t="s">
        <v>83</v>
      </c>
      <c r="C118" t="s">
        <v>31</v>
      </c>
      <c r="D118">
        <v>96</v>
      </c>
      <c r="E118" t="s">
        <v>183</v>
      </c>
      <c r="F118" t="s">
        <v>178</v>
      </c>
      <c r="G118">
        <v>2025</v>
      </c>
    </row>
    <row r="119" spans="2:7" x14ac:dyDescent="0.3">
      <c r="B119" t="s">
        <v>83</v>
      </c>
      <c r="C119" t="s">
        <v>29</v>
      </c>
      <c r="D119">
        <v>78</v>
      </c>
      <c r="E119" t="s">
        <v>184</v>
      </c>
      <c r="F119" t="s">
        <v>185</v>
      </c>
      <c r="G119">
        <v>2025</v>
      </c>
    </row>
    <row r="120" spans="2:7" x14ac:dyDescent="0.3">
      <c r="B120" t="s">
        <v>83</v>
      </c>
      <c r="C120" t="s">
        <v>42</v>
      </c>
      <c r="D120">
        <v>76</v>
      </c>
      <c r="E120" t="s">
        <v>186</v>
      </c>
      <c r="F120" t="s">
        <v>135</v>
      </c>
      <c r="G120">
        <v>2025</v>
      </c>
    </row>
    <row r="121" spans="2:7" x14ac:dyDescent="0.3">
      <c r="B121" t="s">
        <v>83</v>
      </c>
      <c r="C121" t="s">
        <v>33</v>
      </c>
      <c r="D121">
        <v>67</v>
      </c>
      <c r="E121" t="s">
        <v>187</v>
      </c>
      <c r="F121" t="s">
        <v>188</v>
      </c>
      <c r="G121">
        <v>2025</v>
      </c>
    </row>
    <row r="122" spans="2:7" x14ac:dyDescent="0.3">
      <c r="B122" t="s">
        <v>83</v>
      </c>
      <c r="C122" t="s">
        <v>37</v>
      </c>
      <c r="D122">
        <v>62</v>
      </c>
      <c r="E122" t="s">
        <v>189</v>
      </c>
      <c r="F122" t="s">
        <v>190</v>
      </c>
      <c r="G122">
        <v>2025</v>
      </c>
    </row>
    <row r="123" spans="2:7" x14ac:dyDescent="0.3">
      <c r="B123" t="s">
        <v>83</v>
      </c>
      <c r="C123" t="s">
        <v>43</v>
      </c>
      <c r="D123">
        <v>61</v>
      </c>
      <c r="E123" t="s">
        <v>191</v>
      </c>
      <c r="F123" t="s">
        <v>192</v>
      </c>
      <c r="G123">
        <v>2025</v>
      </c>
    </row>
    <row r="124" spans="2:7" x14ac:dyDescent="0.3">
      <c r="B124" t="s">
        <v>83</v>
      </c>
      <c r="C124" t="s">
        <v>39</v>
      </c>
      <c r="D124">
        <v>59</v>
      </c>
      <c r="E124" t="s">
        <v>193</v>
      </c>
      <c r="F124" t="s">
        <v>194</v>
      </c>
      <c r="G124">
        <v>2025</v>
      </c>
    </row>
    <row r="125" spans="2:7" x14ac:dyDescent="0.3">
      <c r="B125" t="s">
        <v>83</v>
      </c>
      <c r="C125" t="s">
        <v>38</v>
      </c>
      <c r="D125">
        <v>51</v>
      </c>
      <c r="E125" t="s">
        <v>184</v>
      </c>
      <c r="F125" t="s">
        <v>195</v>
      </c>
      <c r="G125">
        <v>2025</v>
      </c>
    </row>
    <row r="126" spans="2:7" x14ac:dyDescent="0.3">
      <c r="B126" t="s">
        <v>83</v>
      </c>
      <c r="C126" t="s">
        <v>32</v>
      </c>
      <c r="D126">
        <v>49</v>
      </c>
      <c r="E126" t="s">
        <v>191</v>
      </c>
      <c r="F126" t="s">
        <v>196</v>
      </c>
      <c r="G126">
        <v>2025</v>
      </c>
    </row>
    <row r="127" spans="2:7" x14ac:dyDescent="0.3">
      <c r="B127" t="s">
        <v>83</v>
      </c>
      <c r="C127" t="s">
        <v>41</v>
      </c>
      <c r="D127">
        <v>47</v>
      </c>
      <c r="E127" t="s">
        <v>197</v>
      </c>
      <c r="F127" t="s">
        <v>198</v>
      </c>
      <c r="G127">
        <v>2025</v>
      </c>
    </row>
    <row r="128" spans="2:7" x14ac:dyDescent="0.3">
      <c r="B128" t="s">
        <v>83</v>
      </c>
      <c r="C128" t="s">
        <v>40</v>
      </c>
      <c r="D128">
        <v>44</v>
      </c>
      <c r="E128" t="s">
        <v>199</v>
      </c>
      <c r="F128" t="s">
        <v>200</v>
      </c>
      <c r="G128">
        <v>2025</v>
      </c>
    </row>
    <row r="129" spans="2:7" x14ac:dyDescent="0.3">
      <c r="B129" t="s">
        <v>83</v>
      </c>
      <c r="C129" t="s">
        <v>34</v>
      </c>
      <c r="D129">
        <v>33</v>
      </c>
      <c r="E129" t="s">
        <v>201</v>
      </c>
      <c r="F129" t="s">
        <v>202</v>
      </c>
      <c r="G129">
        <v>2025</v>
      </c>
    </row>
    <row r="130" spans="2:7" x14ac:dyDescent="0.3">
      <c r="B130" t="s">
        <v>83</v>
      </c>
      <c r="C130" t="s">
        <v>44</v>
      </c>
      <c r="D130">
        <v>20</v>
      </c>
      <c r="E130" t="s">
        <v>203</v>
      </c>
      <c r="F130" t="s">
        <v>204</v>
      </c>
      <c r="G130">
        <v>2025</v>
      </c>
    </row>
    <row r="131" spans="2:7" x14ac:dyDescent="0.3">
      <c r="B131" t="s">
        <v>83</v>
      </c>
      <c r="C131" t="s">
        <v>35</v>
      </c>
      <c r="D131">
        <v>15</v>
      </c>
      <c r="E131" t="s">
        <v>205</v>
      </c>
      <c r="F131" t="s">
        <v>206</v>
      </c>
      <c r="G131">
        <v>2025</v>
      </c>
    </row>
  </sheetData>
  <mergeCells count="51">
    <mergeCell ref="AM9:AN9"/>
    <mergeCell ref="AS4:AT4"/>
    <mergeCell ref="AL2:AX3"/>
    <mergeCell ref="AM7:AN7"/>
    <mergeCell ref="AQ7:AR7"/>
    <mergeCell ref="AS7:AU7"/>
    <mergeCell ref="AO8:AP8"/>
    <mergeCell ref="AQ8:AR8"/>
    <mergeCell ref="AS8:AU8"/>
    <mergeCell ref="AS5:AU5"/>
    <mergeCell ref="AM6:AN6"/>
    <mergeCell ref="AO6:AP6"/>
    <mergeCell ref="AQ6:AR6"/>
    <mergeCell ref="AS6:AU6"/>
    <mergeCell ref="AO4:AP4"/>
    <mergeCell ref="AQ4:AR4"/>
    <mergeCell ref="AM5:AN5"/>
    <mergeCell ref="AC3:AD3"/>
    <mergeCell ref="AE3:AF3"/>
    <mergeCell ref="AD19:AF19"/>
    <mergeCell ref="AG19:AI19"/>
    <mergeCell ref="X18:AC18"/>
    <mergeCell ref="AD18:AI18"/>
    <mergeCell ref="M2:AB2"/>
    <mergeCell ref="AG2:AK3"/>
    <mergeCell ref="AC2:AF2"/>
    <mergeCell ref="AA3:AB3"/>
    <mergeCell ref="C19:E19"/>
    <mergeCell ref="F19:H19"/>
    <mergeCell ref="I19:K19"/>
    <mergeCell ref="L19:N19"/>
    <mergeCell ref="O19:Q19"/>
    <mergeCell ref="AA19:AC19"/>
    <mergeCell ref="R19:T19"/>
    <mergeCell ref="U19:W19"/>
    <mergeCell ref="X19:Z19"/>
    <mergeCell ref="O3:P3"/>
    <mergeCell ref="W3:X3"/>
    <mergeCell ref="U3:V3"/>
    <mergeCell ref="Y3:Z3"/>
    <mergeCell ref="C18:K18"/>
    <mergeCell ref="L18:Q18"/>
    <mergeCell ref="R18:W18"/>
    <mergeCell ref="C3:D3"/>
    <mergeCell ref="I3:J3"/>
    <mergeCell ref="G3:H3"/>
    <mergeCell ref="E3:F3"/>
    <mergeCell ref="K3:L3"/>
    <mergeCell ref="M3:N3"/>
    <mergeCell ref="Q3:R3"/>
    <mergeCell ref="S3:T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Jaehan Kim</dc:creator>
  <cp:lastModifiedBy>mbc</cp:lastModifiedBy>
  <dcterms:created xsi:type="dcterms:W3CDTF">2026-10-15T13:06:10Z</dcterms:created>
  <dcterms:modified xsi:type="dcterms:W3CDTF">2026-10-22T06:58:15Z</dcterms:modified>
</cp:coreProperties>
</file>