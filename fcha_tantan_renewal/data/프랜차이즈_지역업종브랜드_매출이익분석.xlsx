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사용안내" sheetId="1" state="visible" r:id="rId3"/>
    <sheet name="브랜드_매출비교" sheetId="2" state="visible" r:id="rId4"/>
    <sheet name="업종_평균매출" sheetId="3" state="visible" r:id="rId5"/>
    <sheet name="원천_지역" sheetId="4" state="visible" r:id="rId6"/>
    <sheet name="지역_집계" sheetId="5" state="visible" r:id="rId7"/>
    <sheet name="비용_입력" sheetId="6" state="visible" r:id="rId8"/>
    <sheet name="운영이익" sheetId="7" state="visible" r:id="rId9"/>
    <sheet name="검증" sheetId="8" state="visible" r:id="rId10"/>
    <sheet name="API_함수" sheetId="9" state="visible" r:id="rId11"/>
    <sheet name="원천_브랜드" sheetId="10" state="visible" r:id="rId12"/>
  </sheets>
  <definedNames>
    <definedName function="false" hidden="true" localSheetId="8" name="_xlnm._FilterDatabase" vbProcedure="false">API_함수!$A$1:$E$6</definedName>
    <definedName function="false" hidden="true" localSheetId="7" name="_xlnm._FilterDatabase" vbProcedure="false">검증!$A$1:$G$16</definedName>
    <definedName function="false" hidden="true" localSheetId="1" name="_xlnm._FilterDatabase" vbProcedure="false">브랜드_매출비교!$A$1:$K$24</definedName>
    <definedName function="false" hidden="true" localSheetId="5" name="_xlnm._FilterDatabase" vbProcedure="false">비용_입력!$A$1:$F$9</definedName>
    <definedName function="false" hidden="true" localSheetId="2" name="_xlnm._FilterDatabase" vbProcedure="false">업종_평균매출!$A$1:$H$8</definedName>
    <definedName function="false" hidden="true" localSheetId="6" name="_xlnm._FilterDatabase" vbProcedure="false">운영이익!$A$1:$M$24</definedName>
    <definedName function="false" hidden="true" localSheetId="9" name="_xlnm._FilterDatabase" vbProcedure="false">원천_브랜드!$A$1:$K$24</definedName>
    <definedName function="false" hidden="true" localSheetId="3" name="_xlnm._FilterDatabase" vbProcedure="false">원천_지역!$A$1:$H$342</definedName>
    <definedName function="false" hidden="true" localSheetId="4" name="_xlnm._FilterDatabase" vbProcedure="false">지역_집계!$A$1:$H$76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<sst xmlns="http://schemas.openxmlformats.org/spreadsheetml/2006/main" count="2712" uniqueCount="263">
  <si>
    <r>
      <rPr>
        <sz val="11"/>
        <rFont val="Noto Sans CJK SC"/>
        <family val="2"/>
      </rPr>
      <t xml:space="preserve">프랜차이즈 지역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업종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브랜드 매출 및 운영이익 분석</t>
    </r>
  </si>
  <si>
    <t xml:space="preserve">목적</t>
  </si>
  <si>
    <r>
      <rPr>
        <sz val="11"/>
        <color theme="1"/>
        <rFont val="Noto Sans CJK SC"/>
        <family val="2"/>
      </rPr>
      <t xml:space="preserve">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업종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브랜드별 점포 수 집계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매출 비교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입력 비용 기반 예상 운영이익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계산식 검증</t>
    </r>
    <r>
      <rPr>
        <sz val="11"/>
        <color theme="1"/>
        <rFont val="Calibri"/>
        <family val="2"/>
        <charset val="1"/>
      </rPr>
      <t xml:space="preserve">, API</t>
    </r>
    <r>
      <rPr>
        <sz val="11"/>
        <color theme="1"/>
        <rFont val="Noto Sans CJK SC"/>
        <family val="2"/>
      </rPr>
      <t xml:space="preserve">용 함수 예시를 한 파일에 통합했습니다</t>
    </r>
    <r>
      <rPr>
        <sz val="11"/>
        <color theme="1"/>
        <rFont val="Calibri"/>
        <family val="2"/>
        <charset val="1"/>
      </rPr>
      <t xml:space="preserve">.</t>
    </r>
  </si>
  <si>
    <t xml:space="preserve">사용 순서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</si>
  <si>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CJK SC"/>
        <family val="2"/>
      </rPr>
      <t xml:space="preserve">비용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입력 시트의 노란색 입력값 수정 → </t>
    </r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CJK SC"/>
        <family val="2"/>
      </rPr>
      <t xml:space="preserve">운영이익 시트 확인 → </t>
    </r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CJK SC"/>
        <family val="2"/>
      </rPr>
      <t xml:space="preserve">업종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평균매출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브랜드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매출비교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지역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집계 결과 확인</t>
    </r>
  </si>
  <si>
    <t xml:space="preserve">매출 단위</t>
  </si>
  <si>
    <r>
      <rPr>
        <sz val="11"/>
        <color theme="1"/>
        <rFont val="Noto Sans CJK SC"/>
        <family val="2"/>
      </rPr>
      <t xml:space="preserve">브랜드 매출비교는 월 매출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과 연 매출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입니다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커피 정보공개서의 평균매출액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천원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은 월 환산해 비교했습니다</t>
    </r>
    <r>
      <rPr>
        <sz val="11"/>
        <color theme="1"/>
        <rFont val="Calibri"/>
        <family val="2"/>
        <charset val="1"/>
      </rPr>
      <t xml:space="preserve">.</t>
    </r>
  </si>
  <si>
    <t xml:space="preserve">누락 처리</t>
  </si>
  <si>
    <r>
      <rPr>
        <sz val="11"/>
        <color theme="1"/>
        <rFont val="Noto Sans CJK SC"/>
        <family val="2"/>
      </rPr>
      <t xml:space="preserve">원자료의 빈칸</t>
    </r>
    <r>
      <rPr>
        <sz val="11"/>
        <color theme="1"/>
        <rFont val="Calibri"/>
        <family val="2"/>
        <charset val="1"/>
      </rPr>
      <t xml:space="preserve">·“-”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이 아니라 미확인으로 유지했습니다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업종 평균은 실제 매출 수치가 있는 브랜드만 평균에 포함합니다</t>
    </r>
    <r>
      <rPr>
        <sz val="11"/>
        <color theme="1"/>
        <rFont val="Calibri"/>
        <family val="2"/>
        <charset val="1"/>
      </rPr>
      <t xml:space="preserve">.</t>
    </r>
  </si>
  <si>
    <t xml:space="preserve">지역 기준</t>
  </si>
  <si>
    <r>
      <rPr>
        <sz val="11"/>
        <color theme="1"/>
        <rFont val="Noto Sans CJK SC"/>
        <family val="2"/>
      </rPr>
      <t xml:space="preserve">치킨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편의점은 현재 공식 매장찾기 서울 구별 집계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이미용은 서울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경기 연말 점포 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커피는 정보공개서 지역별 가맹점 수를 사용합니다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기준연도가 서로 다를 수 있습니다</t>
    </r>
    <r>
      <rPr>
        <sz val="11"/>
        <color theme="1"/>
        <rFont val="Calibri"/>
        <family val="2"/>
        <charset val="1"/>
      </rPr>
      <t xml:space="preserve">.</t>
    </r>
  </si>
  <si>
    <t xml:space="preserve">운영이익 정의</t>
  </si>
  <si>
    <r>
      <rPr>
        <sz val="11"/>
        <color theme="1"/>
        <rFont val="Noto Sans CJK SC"/>
        <family val="2"/>
      </rPr>
      <t xml:space="preserve">월 운영이익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월매출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변동비율 합계</t>
    </r>
    <r>
      <rPr>
        <sz val="11"/>
        <color theme="1"/>
        <rFont val="Calibri"/>
        <family val="2"/>
        <charset val="1"/>
      </rPr>
      <t xml:space="preserve">) − </t>
    </r>
    <r>
      <rPr>
        <sz val="11"/>
        <color theme="1"/>
        <rFont val="Noto Sans CJK SC"/>
        <family val="2"/>
      </rPr>
      <t xml:space="preserve">월 고정비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세금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감가상각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금융비용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점포권리금 등은 포함하지 않은 관리용 추정치입니다</t>
    </r>
    <r>
      <rPr>
        <sz val="11"/>
        <color theme="1"/>
        <rFont val="Calibri"/>
        <family val="2"/>
        <charset val="1"/>
      </rPr>
      <t xml:space="preserve">.</t>
    </r>
  </si>
  <si>
    <t xml:space="preserve">검증 범위</t>
  </si>
  <si>
    <r>
      <rPr>
        <sz val="11"/>
        <color theme="1"/>
        <rFont val="Noto Sans CJK SC"/>
        <family val="2"/>
      </rPr>
      <t xml:space="preserve">검증 시트에서 원자료 합계 대조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매출 표본 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누락 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이익 산식 재계산 일치 여부를 확인합니다</t>
    </r>
    <r>
      <rPr>
        <sz val="11"/>
        <color theme="1"/>
        <rFont val="Calibri"/>
        <family val="2"/>
        <charset val="1"/>
      </rPr>
      <t xml:space="preserve">.</t>
    </r>
  </si>
  <si>
    <t xml:space="preserve">원자료</t>
  </si>
  <si>
    <r>
      <rPr>
        <sz val="11"/>
        <color theme="1"/>
        <rFont val="Noto Sans CJK SC"/>
        <family val="2"/>
      </rPr>
      <t xml:space="preserve">첨부된 자료</t>
    </r>
    <r>
      <rPr>
        <sz val="11"/>
        <color theme="1"/>
        <rFont val="Calibri"/>
        <family val="2"/>
        <charset val="1"/>
      </rPr>
      <t xml:space="preserve">.zip </t>
    </r>
    <r>
      <rPr>
        <sz val="11"/>
        <color theme="1"/>
        <rFont val="Noto Sans CJK SC"/>
        <family val="2"/>
      </rPr>
      <t xml:space="preserve">내부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파일을 기준으로 작성했으며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원본 상대경로는 원천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브랜드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원천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지역 시트에 기록했습니다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</si>
  <si>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6"/>
        <color rgb="FFFFFFFF"/>
        <rFont val="Noto Sans CJK SC"/>
        <family val="2"/>
      </rPr>
      <t xml:space="preserve">브랜드별 매출</t>
    </r>
    <r>
      <rPr>
        <b val="true"/>
        <sz val="16"/>
        <color rgb="FFFFFFFF"/>
        <rFont val="Calibri"/>
        <family val="0"/>
        <charset val="1"/>
      </rPr>
      <t xml:space="preserve">·</t>
    </r>
    <r>
      <rPr>
        <b val="true"/>
        <sz val="16"/>
        <color rgb="FFFFFFFF"/>
        <rFont val="Noto Sans CJK SC"/>
        <family val="2"/>
      </rPr>
      <t xml:space="preserve">점포</t>
    </r>
    <r>
      <rPr>
        <b val="true"/>
        <sz val="16"/>
        <color rgb="FFFFFFFF"/>
        <rFont val="Calibri"/>
        <family val="0"/>
        <charset val="1"/>
      </rPr>
      <t xml:space="preserve">·</t>
    </r>
    <r>
      <rPr>
        <b val="true"/>
        <sz val="16"/>
        <color rgb="FFFFFFFF"/>
        <rFont val="Noto Sans CJK SC"/>
        <family val="2"/>
      </rPr>
      <t xml:space="preserve">창업비용 통합 원장</t>
    </r>
  </si>
  <si>
    <r>
      <rPr>
        <i val="true"/>
        <sz val="11"/>
        <color rgb="FF666666"/>
        <rFont val="Noto Sans CJK SC"/>
        <family val="2"/>
      </rPr>
      <t xml:space="preserve">원자료 기준일</t>
    </r>
    <r>
      <rPr>
        <i val="true"/>
        <sz val="11"/>
        <color rgb="FF666666"/>
        <rFont val="Calibri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출처</t>
    </r>
    <r>
      <rPr>
        <i val="true"/>
        <sz val="11"/>
        <color rgb="FF666666"/>
        <rFont val="Calibri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누락 사유를 보존한 분석용 통합본입니다</t>
    </r>
    <r>
      <rPr>
        <i val="true"/>
        <sz val="11"/>
        <color rgb="FF666666"/>
        <rFont val="Calibri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파란 글씨</t>
    </r>
    <r>
      <rPr>
        <i val="true"/>
        <sz val="11"/>
        <color rgb="FF666666"/>
        <rFont val="Calibri"/>
        <family val="0"/>
        <charset val="1"/>
      </rPr>
      <t xml:space="preserve">/</t>
    </r>
    <r>
      <rPr>
        <i val="true"/>
        <sz val="11"/>
        <color rgb="FF666666"/>
        <rFont val="Noto Sans CJK SC"/>
        <family val="2"/>
      </rPr>
      <t xml:space="preserve">노란 배경은 사용자가 수정할 입력값입니다</t>
    </r>
    <r>
      <rPr>
        <i val="true"/>
        <sz val="11"/>
        <color rgb="FF666666"/>
        <rFont val="Calibri"/>
        <family val="0"/>
        <charset val="1"/>
      </rPr>
      <t xml:space="preserve">.</t>
    </r>
  </si>
  <si>
    <t xml:space="preserve">업종</t>
  </si>
  <si>
    <t xml:space="preserve">브랜드</t>
  </si>
  <si>
    <t xml:space="preserve">매출 기준연도</t>
  </si>
  <si>
    <r>
      <rPr>
        <b val="true"/>
        <sz val="11"/>
        <color rgb="FFFFFFFF"/>
        <rFont val="Noto Sans CJK SC"/>
        <family val="2"/>
      </rPr>
      <t xml:space="preserve">월평균 매출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월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</si>
  <si>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연환산 매출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년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</si>
  <si>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매장 수</t>
  </si>
  <si>
    <t xml:space="preserve">매장수 기준연도</t>
  </si>
  <si>
    <r>
      <rPr>
        <b val="true"/>
        <sz val="11"/>
        <color rgb="FFFFFFFF"/>
        <rFont val="Noto Sans CJK SC"/>
        <family val="2"/>
      </rPr>
      <t xml:space="preserve">숫자형 창업비용 합계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</si>
  <si>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비용 집계 기준</t>
  </si>
  <si>
    <r>
      <rPr>
        <b val="true"/>
        <sz val="11"/>
        <color rgb="FFFFFFFF"/>
        <rFont val="Noto Sans CJK SC"/>
        <family val="2"/>
      </rPr>
      <t xml:space="preserve">매출 출처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시트</t>
    </r>
  </si>
  <si>
    <t xml:space="preserve">원본 상대경로</t>
  </si>
  <si>
    <t xml:space="preserve">이미용</t>
  </si>
  <si>
    <t xml:space="preserve">AivaHair</t>
  </si>
  <si>
    <t xml:space="preserve">원자료에서 숫자형 창업비용 합계 미확인</t>
  </si>
  <si>
    <r>
      <rPr>
        <sz val="11"/>
        <color rgb="FF000000"/>
        <rFont val="Noto Sans CJK SC"/>
        <family val="2"/>
      </rPr>
      <t xml:space="preserve">연도별 요약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원자료 단위 만원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월</t>
    </r>
  </si>
  <si>
    <r>
      <rPr>
        <sz val="11"/>
        <color rgb="FF000000"/>
        <rFont val="Noto Sans CJK SC"/>
        <family val="2"/>
      </rPr>
      <t xml:space="preserve">이미용</t>
    </r>
    <r>
      <rPr>
        <sz val="11"/>
        <color rgb="FF000000"/>
        <rFont val="Calibri"/>
        <family val="0"/>
        <charset val="1"/>
      </rPr>
      <t xml:space="preserve">/AivaHair_2024-2025_SeoulGyeonggi.xlsx</t>
    </r>
  </si>
  <si>
    <t xml:space="preserve">Blueclub</t>
  </si>
  <si>
    <r>
      <rPr>
        <sz val="11"/>
        <color rgb="FF000000"/>
        <rFont val="Noto Sans CJK SC"/>
        <family val="2"/>
      </rPr>
      <t xml:space="preserve">이미용</t>
    </r>
    <r>
      <rPr>
        <sz val="11"/>
        <color rgb="FF000000"/>
        <rFont val="Calibri"/>
        <family val="0"/>
        <charset val="1"/>
      </rPr>
      <t xml:space="preserve">/Blueclub_2024-2025_SeoulGyeonggi.xlsx</t>
    </r>
  </si>
  <si>
    <t xml:space="preserve">LeeChulHairKeker</t>
  </si>
  <si>
    <r>
      <rPr>
        <sz val="11"/>
        <color rgb="FF000000"/>
        <rFont val="Noto Sans CJK SC"/>
        <family val="2"/>
      </rPr>
      <t xml:space="preserve">이미용</t>
    </r>
    <r>
      <rPr>
        <sz val="11"/>
        <color rgb="FF000000"/>
        <rFont val="Calibri"/>
        <family val="0"/>
        <charset val="1"/>
      </rPr>
      <t xml:space="preserve">/LeeChulHairKeker_2024-2025_SeoulGyeonggi.xlsx</t>
    </r>
  </si>
  <si>
    <t xml:space="preserve">ParkSeungChul</t>
  </si>
  <si>
    <r>
      <rPr>
        <sz val="11"/>
        <color rgb="FF000000"/>
        <rFont val="Noto Sans CJK SC"/>
        <family val="2"/>
      </rPr>
      <t xml:space="preserve">이미용</t>
    </r>
    <r>
      <rPr>
        <sz val="11"/>
        <color rgb="FF000000"/>
        <rFont val="Calibri"/>
        <family val="0"/>
        <charset val="1"/>
      </rPr>
      <t xml:space="preserve">/ParkSeungChul_2024-2025_SeoulGyeonggi.xlsx</t>
    </r>
  </si>
  <si>
    <t xml:space="preserve">XEOHair</t>
  </si>
  <si>
    <r>
      <rPr>
        <sz val="11"/>
        <color rgb="FF000000"/>
        <rFont val="Noto Sans CJK SC"/>
        <family val="2"/>
      </rPr>
      <t xml:space="preserve">이미용</t>
    </r>
    <r>
      <rPr>
        <sz val="11"/>
        <color rgb="FF000000"/>
        <rFont val="Calibri"/>
        <family val="0"/>
        <charset val="1"/>
      </rPr>
      <t xml:space="preserve">/XEOHair_2024-2025_SeoulGyeonggi.xlsx</t>
    </r>
  </si>
  <si>
    <t xml:space="preserve">치킨</t>
  </si>
  <si>
    <t xml:space="preserve">BHC</t>
  </si>
  <si>
    <r>
      <rPr>
        <sz val="11"/>
        <color rgb="FF000000"/>
        <rFont val="Noto Sans CJK SC"/>
        <family val="2"/>
      </rPr>
      <t xml:space="preserve">원자료에 숫자로 표시된 항목만 합산</t>
    </r>
    <r>
      <rPr>
        <sz val="11"/>
        <color rgb="FF000000"/>
        <rFont val="Calibri"/>
        <family val="0"/>
        <charset val="1"/>
      </rPr>
      <t xml:space="preserve">; -/</t>
    </r>
    <r>
      <rPr>
        <sz val="11"/>
        <color rgb="FF000000"/>
        <rFont val="Noto Sans CJK SC"/>
        <family val="2"/>
      </rPr>
      <t xml:space="preserve">빈칸은 제외</t>
    </r>
  </si>
  <si>
    <r>
      <rPr>
        <sz val="11"/>
        <color rgb="FF000000"/>
        <rFont val="Noto Sans CJK SC"/>
        <family val="2"/>
      </rPr>
      <t xml:space="preserve">마이프차 연도별 정보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원자료 단위 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월</t>
    </r>
  </si>
  <si>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/BHC_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</t>
    </r>
  </si>
  <si>
    <t xml:space="preserve">교촌치킨</t>
  </si>
  <si>
    <r>
      <rPr>
        <sz val="11"/>
        <color rgb="FF000000"/>
        <rFont val="Noto Sans CJK SC"/>
        <family val="2"/>
      </rPr>
      <t xml:space="preserve">연도별 정보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원자료 단위 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월</t>
    </r>
  </si>
  <si>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교촌치킨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</t>
    </r>
  </si>
  <si>
    <t xml:space="preserve">굽네치킨</t>
  </si>
  <si>
    <r>
      <rPr>
        <sz val="11"/>
        <color rgb="FF000000"/>
        <rFont val="Noto Sans CJK SC"/>
        <family val="2"/>
      </rPr>
      <t xml:space="preserve">연도별 요청항목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원자료 단위 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월</t>
    </r>
  </si>
  <si>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굽네치킨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</t>
    </r>
  </si>
  <si>
    <t xml:space="preserve">비비큐</t>
  </si>
  <si>
    <r>
      <rPr>
        <sz val="11"/>
        <color rgb="FF000000"/>
        <rFont val="Noto Sans CJK SC"/>
        <family val="2"/>
      </rPr>
      <t xml:space="preserve">캡처 연도별 정보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원자료 단위 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월</t>
    </r>
  </si>
  <si>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비비큐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</t>
    </r>
  </si>
  <si>
    <t xml:space="preserve">처갓집양념치킨</t>
  </si>
  <si>
    <r>
      <rPr>
        <sz val="11"/>
        <color rgb="FF000000"/>
        <rFont val="Noto Sans CJK SC"/>
        <family val="2"/>
      </rPr>
      <t xml:space="preserve">매출 및 매장 수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원자료 단위 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월</t>
    </r>
  </si>
  <si>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처갓집양념치킨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</t>
    </r>
  </si>
  <si>
    <t xml:space="preserve">커피</t>
  </si>
  <si>
    <t xml:space="preserve">메가커피</t>
  </si>
  <si>
    <r>
      <rPr>
        <sz val="11"/>
        <color rgb="FF000000"/>
        <rFont val="Noto Sans CJK SC"/>
        <family val="2"/>
      </rPr>
      <t xml:space="preserve">커피브랜드</t>
    </r>
    <r>
      <rPr>
        <sz val="11"/>
        <color rgb="FF000000"/>
        <rFont val="Calibri"/>
        <family val="0"/>
        <charset val="1"/>
      </rPr>
      <t xml:space="preserve">/1.</t>
    </r>
    <r>
      <rPr>
        <sz val="11"/>
        <color rgb="FF000000"/>
        <rFont val="Noto Sans CJK SC"/>
        <family val="2"/>
      </rPr>
      <t xml:space="preserve">메가커피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메가커피 정보공개서 </t>
    </r>
    <r>
      <rPr>
        <sz val="11"/>
        <color rgb="FF000000"/>
        <rFont val="Calibri"/>
        <family val="0"/>
        <charset val="1"/>
      </rPr>
      <t xml:space="preserve">2024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.xlsx</t>
    </r>
  </si>
  <si>
    <r>
      <rPr>
        <sz val="11"/>
        <color rgb="FF000000"/>
        <rFont val="Noto Sans CJK SC"/>
        <family val="2"/>
      </rPr>
      <t xml:space="preserve">커피브랜드</t>
    </r>
    <r>
      <rPr>
        <sz val="11"/>
        <color rgb="FF000000"/>
        <rFont val="Calibri"/>
        <family val="0"/>
        <charset val="1"/>
      </rPr>
      <t xml:space="preserve">/1.</t>
    </r>
    <r>
      <rPr>
        <sz val="11"/>
        <color rgb="FF000000"/>
        <rFont val="Noto Sans CJK SC"/>
        <family val="2"/>
      </rPr>
      <t xml:space="preserve">메가커피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메가커피 정보공개서 </t>
    </r>
    <r>
      <rPr>
        <sz val="11"/>
        <color rgb="FF000000"/>
        <rFont val="Calibri"/>
        <family val="0"/>
        <charset val="1"/>
      </rPr>
      <t xml:space="preserve">2025.xlsx</t>
    </r>
  </si>
  <si>
    <t xml:space="preserve">컴포즈커피</t>
  </si>
  <si>
    <r>
      <rPr>
        <sz val="11"/>
        <color rgb="FF000000"/>
        <rFont val="Noto Sans CJK SC"/>
        <family val="2"/>
      </rPr>
      <t xml:space="preserve">커피브랜드</t>
    </r>
    <r>
      <rPr>
        <sz val="11"/>
        <color rgb="FF000000"/>
        <rFont val="Calibri"/>
        <family val="0"/>
        <charset val="1"/>
      </rPr>
      <t xml:space="preserve">/2.</t>
    </r>
    <r>
      <rPr>
        <sz val="11"/>
        <color rgb="FF000000"/>
        <rFont val="Noto Sans CJK SC"/>
        <family val="2"/>
      </rPr>
      <t xml:space="preserve">컴포즈커피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컴포즈커피 정보공개서 </t>
    </r>
    <r>
      <rPr>
        <sz val="11"/>
        <color rgb="FF000000"/>
        <rFont val="Calibri"/>
        <family val="0"/>
        <charset val="1"/>
      </rPr>
      <t xml:space="preserve">2024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.xlsx</t>
    </r>
  </si>
  <si>
    <t xml:space="preserve">이디야커피</t>
  </si>
  <si>
    <r>
      <rPr>
        <sz val="11"/>
        <color rgb="FF000000"/>
        <rFont val="Noto Sans CJK SC"/>
        <family val="2"/>
      </rPr>
      <t xml:space="preserve">커피브랜드</t>
    </r>
    <r>
      <rPr>
        <sz val="11"/>
        <color rgb="FF000000"/>
        <rFont val="Calibri"/>
        <family val="0"/>
        <charset val="1"/>
      </rPr>
      <t xml:space="preserve">/3.</t>
    </r>
    <r>
      <rPr>
        <sz val="11"/>
        <color rgb="FF000000"/>
        <rFont val="Noto Sans CJK SC"/>
        <family val="2"/>
      </rPr>
      <t xml:space="preserve">이디야커피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이디야커피 정보공개서 </t>
    </r>
    <r>
      <rPr>
        <sz val="11"/>
        <color rgb="FF000000"/>
        <rFont val="Calibri"/>
        <family val="0"/>
        <charset val="1"/>
      </rPr>
      <t xml:space="preserve">2024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.xlsx</t>
    </r>
  </si>
  <si>
    <t xml:space="preserve">빽다방</t>
  </si>
  <si>
    <r>
      <rPr>
        <sz val="11"/>
        <color rgb="FF000000"/>
        <rFont val="Noto Sans CJK SC"/>
        <family val="2"/>
      </rPr>
      <t xml:space="preserve">커피브랜드</t>
    </r>
    <r>
      <rPr>
        <sz val="11"/>
        <color rgb="FF000000"/>
        <rFont val="Calibri"/>
        <family val="0"/>
        <charset val="1"/>
      </rPr>
      <t xml:space="preserve">/4.</t>
    </r>
    <r>
      <rPr>
        <sz val="11"/>
        <color rgb="FF000000"/>
        <rFont val="Noto Sans CJK SC"/>
        <family val="2"/>
      </rPr>
      <t xml:space="preserve">빽다방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빽다방 정보공개서 </t>
    </r>
    <r>
      <rPr>
        <sz val="11"/>
        <color rgb="FF000000"/>
        <rFont val="Calibri"/>
        <family val="0"/>
        <charset val="1"/>
      </rPr>
      <t xml:space="preserve">2024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.xlsx</t>
    </r>
  </si>
  <si>
    <t xml:space="preserve">투썸플레이스</t>
  </si>
  <si>
    <r>
      <rPr>
        <sz val="11"/>
        <color rgb="FF000000"/>
        <rFont val="Noto Sans CJK SC"/>
        <family val="2"/>
      </rPr>
      <t xml:space="preserve">커피브랜드</t>
    </r>
    <r>
      <rPr>
        <sz val="11"/>
        <color rgb="FF000000"/>
        <rFont val="Calibri"/>
        <family val="0"/>
        <charset val="1"/>
      </rPr>
      <t xml:space="preserve">/5.</t>
    </r>
    <r>
      <rPr>
        <sz val="11"/>
        <color rgb="FF000000"/>
        <rFont val="Noto Sans CJK SC"/>
        <family val="2"/>
      </rPr>
      <t xml:space="preserve">투썸플레이스</t>
    </r>
    <r>
      <rPr>
        <sz val="11"/>
        <color rgb="FF000000"/>
        <rFont val="Calibri"/>
        <family val="0"/>
        <charset val="1"/>
      </rPr>
      <t xml:space="preserve">/Twosome_Place </t>
    </r>
    <r>
      <rPr>
        <sz val="11"/>
        <color rgb="FF000000"/>
        <rFont val="Noto Sans CJK SC"/>
        <family val="2"/>
      </rPr>
      <t xml:space="preserve">정보공개서 </t>
    </r>
    <r>
      <rPr>
        <sz val="11"/>
        <color rgb="FF000000"/>
        <rFont val="Calibri"/>
        <family val="0"/>
        <charset val="1"/>
      </rPr>
      <t xml:space="preserve">2024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.xlsx</t>
    </r>
  </si>
  <si>
    <t xml:space="preserve">편의점</t>
  </si>
  <si>
    <t xml:space="preserve">CU</t>
  </si>
  <si>
    <r>
      <rPr>
        <sz val="11"/>
        <color rgb="FF000000"/>
        <rFont val="Noto Sans CJK SC"/>
        <family val="2"/>
      </rPr>
      <t xml:space="preserve">편의점</t>
    </r>
    <r>
      <rPr>
        <sz val="11"/>
        <color rgb="FF000000"/>
        <rFont val="Calibri"/>
        <family val="0"/>
        <charset val="1"/>
      </rPr>
      <t xml:space="preserve">/CU_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</t>
    </r>
  </si>
  <si>
    <t xml:space="preserve">GS25</t>
  </si>
  <si>
    <r>
      <rPr>
        <sz val="11"/>
        <color rgb="FF000000"/>
        <rFont val="Noto Sans CJK SC"/>
        <family val="2"/>
      </rPr>
      <t xml:space="preserve">편의점</t>
    </r>
    <r>
      <rPr>
        <sz val="11"/>
        <color rgb="FF000000"/>
        <rFont val="Calibri"/>
        <family val="0"/>
        <charset val="1"/>
      </rPr>
      <t xml:space="preserve">/GS25_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</t>
    </r>
  </si>
  <si>
    <t xml:space="preserve">세븐일레븐</t>
  </si>
  <si>
    <r>
      <rPr>
        <sz val="11"/>
        <color rgb="FF000000"/>
        <rFont val="Noto Sans CJK SC"/>
        <family val="2"/>
      </rPr>
      <t xml:space="preserve">편의점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세븐일레븐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</t>
    </r>
  </si>
  <si>
    <r>
      <rPr>
        <sz val="11"/>
        <color rgb="FF000000"/>
        <rFont val="Noto Sans CJK SC"/>
        <family val="2"/>
      </rPr>
      <t xml:space="preserve">이마트</t>
    </r>
    <r>
      <rPr>
        <sz val="11"/>
        <color rgb="FF000000"/>
        <rFont val="Calibri"/>
        <family val="0"/>
        <charset val="1"/>
      </rPr>
      <t xml:space="preserve">24</t>
    </r>
  </si>
  <si>
    <r>
      <rPr>
        <sz val="11"/>
        <color rgb="FF000000"/>
        <rFont val="Noto Sans CJK SC"/>
        <family val="2"/>
      </rPr>
      <t xml:space="preserve">편의점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이마트</t>
    </r>
    <r>
      <rPr>
        <sz val="11"/>
        <color rgb="FF000000"/>
        <rFont val="Calibri"/>
        <family val="0"/>
        <charset val="1"/>
      </rPr>
      <t xml:space="preserve">24_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</t>
    </r>
  </si>
  <si>
    <t xml:space="preserve">업종별 평균 매출 및 표본 검증</t>
  </si>
  <si>
    <t xml:space="preserve">매출 입력 브랜드 수</t>
  </si>
  <si>
    <t xml:space="preserve">매출 미확인 브랜드 수</t>
  </si>
  <si>
    <r>
      <rPr>
        <b val="true"/>
        <sz val="11"/>
        <color rgb="FFFFFFFF"/>
        <rFont val="Noto Sans CJK SC"/>
        <family val="2"/>
      </rPr>
      <t xml:space="preserve">평균 월매출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월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</si>
  <si>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평균 연매출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년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</si>
  <si>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최고 월매출 브랜드</t>
  </si>
  <si>
    <t xml:space="preserve">최저 월매출 브랜드</t>
  </si>
  <si>
    <r>
      <rPr>
        <b val="true"/>
        <sz val="11"/>
        <color rgb="FFFFFFFF"/>
        <rFont val="Noto Sans CJK SC"/>
        <family val="2"/>
      </rPr>
      <t xml:space="preserve">산식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해석</t>
    </r>
  </si>
  <si>
    <r>
      <rPr>
        <sz val="11"/>
        <color rgb="FF000000"/>
        <rFont val="Noto Sans CJK SC"/>
        <family val="2"/>
      </rPr>
      <t xml:space="preserve">실제 월매출이 숫자로 입력된 브랜드만 평균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빈칸은 </t>
    </r>
    <r>
      <rPr>
        <sz val="11"/>
        <color rgb="FF000000"/>
        <rFont val="Calibri"/>
        <family val="0"/>
        <charset val="1"/>
      </rPr>
      <t xml:space="preserve">0</t>
    </r>
    <r>
      <rPr>
        <sz val="11"/>
        <color rgb="FF000000"/>
        <rFont val="Noto Sans CJK SC"/>
        <family val="2"/>
      </rPr>
      <t xml:space="preserve">이 아님</t>
    </r>
    <r>
      <rPr>
        <sz val="11"/>
        <color rgb="FF000000"/>
        <rFont val="Calibri"/>
        <family val="0"/>
        <charset val="1"/>
      </rPr>
      <t xml:space="preserve">.</t>
    </r>
  </si>
  <si>
    <r>
      <rPr>
        <b val="true"/>
        <sz val="16"/>
        <color rgb="FFFFFFFF"/>
        <rFont val="Noto Sans CJK SC"/>
        <family val="2"/>
      </rPr>
      <t xml:space="preserve">원천 지역별 점포</t>
    </r>
    <r>
      <rPr>
        <b val="true"/>
        <sz val="16"/>
        <color rgb="FFFFFFFF"/>
        <rFont val="Calibri"/>
        <family val="0"/>
        <charset val="1"/>
      </rPr>
      <t xml:space="preserve">·</t>
    </r>
    <r>
      <rPr>
        <b val="true"/>
        <sz val="16"/>
        <color rgb="FFFFFFFF"/>
        <rFont val="Noto Sans CJK SC"/>
        <family val="2"/>
      </rPr>
      <t xml:space="preserve">매출 데이터</t>
    </r>
  </si>
  <si>
    <t xml:space="preserve">지역권역</t>
  </si>
  <si>
    <t xml:space="preserve">지역</t>
  </si>
  <si>
    <t xml:space="preserve">기준연도</t>
  </si>
  <si>
    <r>
      <rPr>
        <b val="true"/>
        <sz val="11"/>
        <color rgb="FFFFFFFF"/>
        <rFont val="Noto Sans CJK SC"/>
        <family val="2"/>
      </rPr>
      <t xml:space="preserve">수량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매출 값</t>
    </r>
  </si>
  <si>
    <r>
      <rPr>
        <b val="true"/>
        <sz val="11"/>
        <color rgb="FFFFFFFF"/>
        <rFont val="Noto Sans CJK SC"/>
        <family val="2"/>
      </rPr>
      <t xml:space="preserve">지표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단위</t>
    </r>
  </si>
  <si>
    <t xml:space="preserve">서울</t>
  </si>
  <si>
    <t xml:space="preserve">연말 점포 수</t>
  </si>
  <si>
    <r>
      <rPr>
        <sz val="11"/>
        <color rgb="FF000000"/>
        <rFont val="Noto Sans CJK SC"/>
        <family val="2"/>
      </rPr>
      <t xml:space="preserve">이미용</t>
    </r>
    <r>
      <rPr>
        <sz val="11"/>
        <color rgb="FF000000"/>
        <rFont val="Calibri"/>
        <family val="0"/>
        <charset val="1"/>
      </rPr>
      <t xml:space="preserve">/AivaHair_2024-2025_SeoulGyeonggi.xlsx#</t>
    </r>
    <r>
      <rPr>
        <sz val="11"/>
        <color rgb="FF000000"/>
        <rFont val="Noto Sans CJK SC"/>
        <family val="2"/>
      </rPr>
      <t xml:space="preserve">서울경기 점포수</t>
    </r>
  </si>
  <si>
    <t xml:space="preserve">경기</t>
  </si>
  <si>
    <r>
      <rPr>
        <sz val="11"/>
        <color rgb="FF000000"/>
        <rFont val="Noto Sans CJK SC"/>
        <family val="2"/>
      </rPr>
      <t xml:space="preserve">이미용</t>
    </r>
    <r>
      <rPr>
        <sz val="11"/>
        <color rgb="FF000000"/>
        <rFont val="Calibri"/>
        <family val="0"/>
        <charset val="1"/>
      </rPr>
      <t xml:space="preserve">/Blueclub_2024-2025_SeoulGyeonggi.xlsx#</t>
    </r>
    <r>
      <rPr>
        <sz val="11"/>
        <color rgb="FF000000"/>
        <rFont val="Noto Sans CJK SC"/>
        <family val="2"/>
      </rPr>
      <t xml:space="preserve">서울경기 점포수</t>
    </r>
  </si>
  <si>
    <r>
      <rPr>
        <sz val="11"/>
        <color rgb="FF000000"/>
        <rFont val="Noto Sans CJK SC"/>
        <family val="2"/>
      </rPr>
      <t xml:space="preserve">이미용</t>
    </r>
    <r>
      <rPr>
        <sz val="11"/>
        <color rgb="FF000000"/>
        <rFont val="Calibri"/>
        <family val="0"/>
        <charset val="1"/>
      </rPr>
      <t xml:space="preserve">/LeeChulHairKeker_2024-2025_SeoulGyeonggi.xlsx#</t>
    </r>
    <r>
      <rPr>
        <sz val="11"/>
        <color rgb="FF000000"/>
        <rFont val="Noto Sans CJK SC"/>
        <family val="2"/>
      </rPr>
      <t xml:space="preserve">서울경기 점포수</t>
    </r>
  </si>
  <si>
    <r>
      <rPr>
        <sz val="11"/>
        <color rgb="FF000000"/>
        <rFont val="Noto Sans CJK SC"/>
        <family val="2"/>
      </rPr>
      <t xml:space="preserve">이미용</t>
    </r>
    <r>
      <rPr>
        <sz val="11"/>
        <color rgb="FF000000"/>
        <rFont val="Calibri"/>
        <family val="0"/>
        <charset val="1"/>
      </rPr>
      <t xml:space="preserve">/ParkSeungChul_2024-2025_SeoulGyeonggi.xlsx#</t>
    </r>
    <r>
      <rPr>
        <sz val="11"/>
        <color rgb="FF000000"/>
        <rFont val="Noto Sans CJK SC"/>
        <family val="2"/>
      </rPr>
      <t xml:space="preserve">서울경기 점포수</t>
    </r>
  </si>
  <si>
    <r>
      <rPr>
        <sz val="11"/>
        <color rgb="FF000000"/>
        <rFont val="Noto Sans CJK SC"/>
        <family val="2"/>
      </rPr>
      <t xml:space="preserve">이미용</t>
    </r>
    <r>
      <rPr>
        <sz val="11"/>
        <color rgb="FF000000"/>
        <rFont val="Calibri"/>
        <family val="0"/>
        <charset val="1"/>
      </rPr>
      <t xml:space="preserve">/XEOHair_2024-2025_SeoulGyeonggi.xlsx#</t>
    </r>
    <r>
      <rPr>
        <sz val="11"/>
        <color rgb="FF000000"/>
        <rFont val="Noto Sans CJK SC"/>
        <family val="2"/>
      </rPr>
      <t xml:space="preserve">서울경기 점포수</t>
    </r>
  </si>
  <si>
    <t xml:space="preserve">강남구</t>
  </si>
  <si>
    <r>
      <rPr>
        <sz val="11"/>
        <color rgb="FF000000"/>
        <rFont val="Noto Sans CJK SC"/>
        <family val="2"/>
      </rPr>
      <t xml:space="preserve">현재 공식 매장찾기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자료 기준</t>
    </r>
  </si>
  <si>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/BHC_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서울 구별 점포 수</t>
    </r>
  </si>
  <si>
    <t xml:space="preserve">강동구</t>
  </si>
  <si>
    <t xml:space="preserve">강북구</t>
  </si>
  <si>
    <t xml:space="preserve">강서구</t>
  </si>
  <si>
    <t xml:space="preserve">관악구</t>
  </si>
  <si>
    <t xml:space="preserve">광진구</t>
  </si>
  <si>
    <t xml:space="preserve">구로구</t>
  </si>
  <si>
    <t xml:space="preserve">금천구</t>
  </si>
  <si>
    <t xml:space="preserve">노원구</t>
  </si>
  <si>
    <t xml:space="preserve">도봉구</t>
  </si>
  <si>
    <t xml:space="preserve">동대문구</t>
  </si>
  <si>
    <t xml:space="preserve">동작구</t>
  </si>
  <si>
    <t xml:space="preserve">마포구</t>
  </si>
  <si>
    <t xml:space="preserve">서대문구</t>
  </si>
  <si>
    <t xml:space="preserve">서초구</t>
  </si>
  <si>
    <t xml:space="preserve">성동구</t>
  </si>
  <si>
    <t xml:space="preserve">성북구</t>
  </si>
  <si>
    <t xml:space="preserve">송파구</t>
  </si>
  <si>
    <t xml:space="preserve">양천구</t>
  </si>
  <si>
    <t xml:space="preserve">영등포구</t>
  </si>
  <si>
    <t xml:space="preserve">용산구</t>
  </si>
  <si>
    <t xml:space="preserve">은평구</t>
  </si>
  <si>
    <t xml:space="preserve">종로구</t>
  </si>
  <si>
    <t xml:space="preserve">중구</t>
  </si>
  <si>
    <t xml:space="preserve">중랑구</t>
  </si>
  <si>
    <t xml:space="preserve">합계</t>
  </si>
  <si>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교촌치킨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서울 구별 점포 수</t>
    </r>
  </si>
  <si>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굽네치킨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서울 구별 점포 수</t>
    </r>
  </si>
  <si>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비비큐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서울 구별 점포 수</t>
    </r>
  </si>
  <si>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처갓집양념치킨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서울 구별 점포 수</t>
    </r>
  </si>
  <si>
    <t xml:space="preserve">전국</t>
  </si>
  <si>
    <t xml:space="preserve">전체</t>
  </si>
  <si>
    <r>
      <rPr>
        <sz val="11"/>
        <color rgb="FF000000"/>
        <rFont val="Noto Sans CJK SC"/>
        <family val="2"/>
      </rPr>
      <t xml:space="preserve">가맹점 평균 매출 </t>
    </r>
    <r>
      <rPr>
        <sz val="11"/>
        <color rgb="FF000000"/>
        <rFont val="Calibri"/>
        <family val="0"/>
        <charset val="1"/>
      </rPr>
      <t xml:space="preserve">2025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천원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</si>
  <si>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커피브랜드</t>
    </r>
    <r>
      <rPr>
        <sz val="11"/>
        <color rgb="FF000000"/>
        <rFont val="Calibri"/>
        <family val="0"/>
        <charset val="1"/>
      </rPr>
      <t xml:space="preserve">/1.</t>
    </r>
    <r>
      <rPr>
        <sz val="11"/>
        <color rgb="FF000000"/>
        <rFont val="Noto Sans CJK SC"/>
        <family val="2"/>
      </rPr>
      <t xml:space="preserve">메가커피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메가커피 정보공개서 </t>
    </r>
    <r>
      <rPr>
        <sz val="11"/>
        <color rgb="FF000000"/>
        <rFont val="Calibri"/>
        <family val="0"/>
        <charset val="1"/>
      </rPr>
      <t xml:space="preserve">2024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지역별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평균매출액비교</t>
    </r>
  </si>
  <si>
    <t xml:space="preserve">시도</t>
  </si>
  <si>
    <t xml:space="preserve">부산</t>
  </si>
  <si>
    <t xml:space="preserve">대구</t>
  </si>
  <si>
    <t xml:space="preserve">인천</t>
  </si>
  <si>
    <t xml:space="preserve">광주</t>
  </si>
  <si>
    <t xml:space="preserve">대전</t>
  </si>
  <si>
    <t xml:space="preserve">울산</t>
  </si>
  <si>
    <t xml:space="preserve">세종</t>
  </si>
  <si>
    <t xml:space="preserve">강원</t>
  </si>
  <si>
    <t xml:space="preserve">충북</t>
  </si>
  <si>
    <t xml:space="preserve">충남</t>
  </si>
  <si>
    <t xml:space="preserve">전북</t>
  </si>
  <si>
    <t xml:space="preserve">전남</t>
  </si>
  <si>
    <t xml:space="preserve">경북</t>
  </si>
  <si>
    <t xml:space="preserve">경남</t>
  </si>
  <si>
    <t xml:space="preserve">제주</t>
  </si>
  <si>
    <r>
      <rPr>
        <sz val="11"/>
        <color rgb="FF000000"/>
        <rFont val="Noto Sans CJK SC"/>
        <family val="2"/>
      </rPr>
      <t xml:space="preserve">가맹점 평균 매출 </t>
    </r>
    <r>
      <rPr>
        <sz val="11"/>
        <color rgb="FF000000"/>
        <rFont val="Calibri"/>
        <family val="0"/>
        <charset val="1"/>
      </rPr>
      <t xml:space="preserve">2024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천원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</si>
  <si>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커피브랜드</t>
    </r>
    <r>
      <rPr>
        <sz val="11"/>
        <color rgb="FF000000"/>
        <rFont val="Calibri"/>
        <family val="0"/>
        <charset val="1"/>
      </rPr>
      <t xml:space="preserve">/2.</t>
    </r>
    <r>
      <rPr>
        <sz val="11"/>
        <color rgb="FF000000"/>
        <rFont val="Noto Sans CJK SC"/>
        <family val="2"/>
      </rPr>
      <t xml:space="preserve">컴포즈커피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컴포즈커피 정보공개서 </t>
    </r>
    <r>
      <rPr>
        <sz val="11"/>
        <color rgb="FF000000"/>
        <rFont val="Calibri"/>
        <family val="0"/>
        <charset val="1"/>
      </rPr>
      <t xml:space="preserve">2024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지역별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평균매출액</t>
    </r>
  </si>
  <si>
    <r>
      <rPr>
        <sz val="11"/>
        <color rgb="FF000000"/>
        <rFont val="Noto Sans CJK SC"/>
        <family val="2"/>
      </rPr>
      <t xml:space="preserve">커피브랜드</t>
    </r>
    <r>
      <rPr>
        <sz val="11"/>
        <color rgb="FF000000"/>
        <rFont val="Calibri"/>
        <family val="0"/>
        <charset val="1"/>
      </rPr>
      <t xml:space="preserve">/3.</t>
    </r>
    <r>
      <rPr>
        <sz val="11"/>
        <color rgb="FF000000"/>
        <rFont val="Noto Sans CJK SC"/>
        <family val="2"/>
      </rPr>
      <t xml:space="preserve">이디야커피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이디야커피 정보공개서 </t>
    </r>
    <r>
      <rPr>
        <sz val="11"/>
        <color rgb="FF000000"/>
        <rFont val="Calibri"/>
        <family val="0"/>
        <charset val="1"/>
      </rPr>
      <t xml:space="preserve">2024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지역별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평균매출액</t>
    </r>
  </si>
  <si>
    <r>
      <rPr>
        <sz val="11"/>
        <color rgb="FF000000"/>
        <rFont val="Noto Sans CJK SC"/>
        <family val="2"/>
      </rPr>
      <t xml:space="preserve">커피브랜드</t>
    </r>
    <r>
      <rPr>
        <sz val="11"/>
        <color rgb="FF000000"/>
        <rFont val="Calibri"/>
        <family val="0"/>
        <charset val="1"/>
      </rPr>
      <t xml:space="preserve">/4.</t>
    </r>
    <r>
      <rPr>
        <sz val="11"/>
        <color rgb="FF000000"/>
        <rFont val="Noto Sans CJK SC"/>
        <family val="2"/>
      </rPr>
      <t xml:space="preserve">빽다방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빽다방 정보공개서 </t>
    </r>
    <r>
      <rPr>
        <sz val="11"/>
        <color rgb="FF000000"/>
        <rFont val="Calibri"/>
        <family val="0"/>
        <charset val="1"/>
      </rPr>
      <t xml:space="preserve">2024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지역별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평균매출액</t>
    </r>
  </si>
  <si>
    <r>
      <rPr>
        <sz val="11"/>
        <color rgb="FF000000"/>
        <rFont val="Noto Sans CJK SC"/>
        <family val="2"/>
      </rPr>
      <t xml:space="preserve">커피브랜드</t>
    </r>
    <r>
      <rPr>
        <sz val="11"/>
        <color rgb="FF000000"/>
        <rFont val="Calibri"/>
        <family val="0"/>
        <charset val="1"/>
      </rPr>
      <t xml:space="preserve">/5.</t>
    </r>
    <r>
      <rPr>
        <sz val="11"/>
        <color rgb="FF000000"/>
        <rFont val="Noto Sans CJK SC"/>
        <family val="2"/>
      </rPr>
      <t xml:space="preserve">투썸플레이스</t>
    </r>
    <r>
      <rPr>
        <sz val="11"/>
        <color rgb="FF000000"/>
        <rFont val="Calibri"/>
        <family val="0"/>
        <charset val="1"/>
      </rPr>
      <t xml:space="preserve">/Twosome_Place </t>
    </r>
    <r>
      <rPr>
        <sz val="11"/>
        <color rgb="FF000000"/>
        <rFont val="Noto Sans CJK SC"/>
        <family val="2"/>
      </rPr>
      <t xml:space="preserve">정보공개서 </t>
    </r>
    <r>
      <rPr>
        <sz val="11"/>
        <color rgb="FF000000"/>
        <rFont val="Calibri"/>
        <family val="0"/>
        <charset val="1"/>
      </rPr>
      <t xml:space="preserve">2024</t>
    </r>
    <r>
      <rPr>
        <sz val="11"/>
        <color rgb="FF000000"/>
        <rFont val="Noto Sans CJK SC"/>
        <family val="2"/>
      </rPr>
      <t xml:space="preserve">년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지역별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평균매출액</t>
    </r>
  </si>
  <si>
    <r>
      <rPr>
        <sz val="11"/>
        <color rgb="FF000000"/>
        <rFont val="Noto Sans CJK SC"/>
        <family val="2"/>
      </rPr>
      <t xml:space="preserve">편의점</t>
    </r>
    <r>
      <rPr>
        <sz val="11"/>
        <color rgb="FF000000"/>
        <rFont val="Calibri"/>
        <family val="0"/>
        <charset val="1"/>
      </rPr>
      <t xml:space="preserve">/CU_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서울 구별 점포 수</t>
    </r>
  </si>
  <si>
    <r>
      <rPr>
        <sz val="11"/>
        <color rgb="FF000000"/>
        <rFont val="Noto Sans CJK SC"/>
        <family val="2"/>
      </rPr>
      <t xml:space="preserve">편의점</t>
    </r>
    <r>
      <rPr>
        <sz val="11"/>
        <color rgb="FF000000"/>
        <rFont val="Calibri"/>
        <family val="0"/>
        <charset val="1"/>
      </rPr>
      <t xml:space="preserve">/GS25_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서울 구별 점포 수</t>
    </r>
  </si>
  <si>
    <r>
      <rPr>
        <sz val="11"/>
        <color rgb="FF000000"/>
        <rFont val="Noto Sans CJK SC"/>
        <family val="2"/>
      </rPr>
      <t xml:space="preserve">편의점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세븐일레븐</t>
    </r>
    <r>
      <rPr>
        <sz val="11"/>
        <color rgb="FF000000"/>
        <rFont val="Calibri"/>
        <family val="0"/>
        <charset val="1"/>
      </rPr>
      <t xml:space="preserve">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서울 구별 점포 수</t>
    </r>
  </si>
  <si>
    <r>
      <rPr>
        <sz val="11"/>
        <color rgb="FF000000"/>
        <rFont val="Noto Sans CJK SC"/>
        <family val="2"/>
      </rPr>
      <t xml:space="preserve">편의점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이마트</t>
    </r>
    <r>
      <rPr>
        <sz val="11"/>
        <color rgb="FF000000"/>
        <rFont val="Calibri"/>
        <family val="0"/>
        <charset val="1"/>
      </rPr>
      <t xml:space="preserve">24_</t>
    </r>
    <r>
      <rPr>
        <sz val="11"/>
        <color rgb="FF000000"/>
        <rFont val="Noto Sans CJK SC"/>
        <family val="2"/>
      </rPr>
      <t xml:space="preserve">창업정보</t>
    </r>
    <r>
      <rPr>
        <sz val="11"/>
        <color rgb="FF000000"/>
        <rFont val="Calibri"/>
        <family val="0"/>
        <charset val="1"/>
      </rPr>
      <t xml:space="preserve">.xlsx#</t>
    </r>
    <r>
      <rPr>
        <sz val="11"/>
        <color rgb="FF000000"/>
        <rFont val="Noto Sans CJK SC"/>
        <family val="2"/>
      </rPr>
      <t xml:space="preserve">서울 구별 점포 수</t>
    </r>
  </si>
  <si>
    <t xml:space="preserve">지역별 집계 및 비교</t>
  </si>
  <si>
    <t xml:space="preserve">브랜드 수</t>
  </si>
  <si>
    <r>
      <rPr>
        <b val="true"/>
        <sz val="11"/>
        <color rgb="FFFFFFFF"/>
        <rFont val="Noto Sans CJK SC"/>
        <family val="2"/>
      </rPr>
      <t xml:space="preserve">점포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매출 관측치 수</t>
    </r>
  </si>
  <si>
    <r>
      <rPr>
        <b val="true"/>
        <sz val="11"/>
        <color rgb="FFFFFFFF"/>
        <rFont val="Noto Sans CJK SC"/>
        <family val="2"/>
      </rPr>
      <t xml:space="preserve">수량</t>
    </r>
    <r>
      <rPr>
        <b val="true"/>
        <sz val="11"/>
        <color rgb="FFFFFFFF"/>
        <rFont val="Calibri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매출 합계</t>
    </r>
  </si>
  <si>
    <r>
      <rPr>
        <b val="true"/>
        <sz val="11"/>
        <color rgb="FFFFFFFF"/>
        <rFont val="Noto Sans CJK SC"/>
        <family val="2"/>
      </rPr>
      <t xml:space="preserve">평균 수량</t>
    </r>
    <r>
      <rPr>
        <b val="true"/>
        <sz val="11"/>
        <color rgb="FFFFFFFF"/>
        <rFont val="Calibri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매출</t>
    </r>
  </si>
  <si>
    <t xml:space="preserve">해석</t>
  </si>
  <si>
    <r>
      <rPr>
        <sz val="11"/>
        <color rgb="FF000000"/>
        <rFont val="Noto Sans CJK SC"/>
        <family val="2"/>
      </rPr>
      <t xml:space="preserve">지역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기준연도가 업종별로 다르므로 원천 시트의 지표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단위를 함께 확인</t>
    </r>
  </si>
  <si>
    <t xml:space="preserve">운영이익 계산용 비용 입력값</t>
  </si>
  <si>
    <t xml:space="preserve">입력값</t>
  </si>
  <si>
    <t xml:space="preserve">값</t>
  </si>
  <si>
    <t xml:space="preserve">단위</t>
  </si>
  <si>
    <t xml:space="preserve">설명</t>
  </si>
  <si>
    <t xml:space="preserve">기본값의 성격</t>
  </si>
  <si>
    <t xml:space="preserve">적용식</t>
  </si>
  <si>
    <r>
      <rPr>
        <sz val="11"/>
        <color rgb="FF000000"/>
        <rFont val="Noto Sans CJK SC"/>
        <family val="2"/>
      </rPr>
      <t xml:space="preserve">상품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재료 등 변동비율</t>
    </r>
  </si>
  <si>
    <r>
      <rPr>
        <sz val="11"/>
        <color rgb="FF000000"/>
        <rFont val="Noto Sans CJK SC"/>
        <family val="2"/>
      </rPr>
      <t xml:space="preserve">매출 대비 </t>
    </r>
    <r>
      <rPr>
        <sz val="11"/>
        <color rgb="FF000000"/>
        <rFont val="Calibri"/>
        <family val="0"/>
        <charset val="1"/>
      </rPr>
      <t xml:space="preserve">%</t>
    </r>
  </si>
  <si>
    <r>
      <rPr>
        <sz val="11"/>
        <color rgb="FF000000"/>
        <rFont val="Noto Sans CJK SC"/>
        <family val="2"/>
      </rPr>
      <t xml:space="preserve">사용자 입력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업종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브랜드별 실제 원가율로 수정</t>
    </r>
  </si>
  <si>
    <t xml:space="preserve">예시 가정</t>
  </si>
  <si>
    <r>
      <rPr>
        <sz val="11"/>
        <color rgb="FF000000"/>
        <rFont val="Noto Sans CJK SC"/>
        <family val="2"/>
      </rPr>
      <t xml:space="preserve">월매출</t>
    </r>
    <r>
      <rPr>
        <sz val="11"/>
        <color rgb="FF000000"/>
        <rFont val="Calibri"/>
        <family val="0"/>
        <charset val="1"/>
      </rPr>
      <t xml:space="preserve">×</t>
    </r>
    <r>
      <rPr>
        <sz val="11"/>
        <color rgb="FF000000"/>
        <rFont val="Noto Sans CJK SC"/>
        <family val="2"/>
      </rPr>
      <t xml:space="preserve">변동비율</t>
    </r>
  </si>
  <si>
    <t xml:space="preserve">인건비율</t>
  </si>
  <si>
    <r>
      <rPr>
        <sz val="11"/>
        <color rgb="FF000000"/>
        <rFont val="Noto Sans CJK SC"/>
        <family val="2"/>
      </rPr>
      <t xml:space="preserve">사용자 입력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급여</t>
    </r>
    <r>
      <rPr>
        <sz val="11"/>
        <color rgb="FF000000"/>
        <rFont val="Calibri"/>
        <family val="0"/>
        <charset val="1"/>
      </rPr>
      <t xml:space="preserve">·4</t>
    </r>
    <r>
      <rPr>
        <sz val="11"/>
        <color rgb="FF000000"/>
        <rFont val="Noto Sans CJK SC"/>
        <family val="2"/>
      </rPr>
      <t xml:space="preserve">대보험 등</t>
    </r>
  </si>
  <si>
    <r>
      <rPr>
        <sz val="11"/>
        <color rgb="FF000000"/>
        <rFont val="Noto Sans CJK SC"/>
        <family val="2"/>
      </rPr>
      <t xml:space="preserve">월매출</t>
    </r>
    <r>
      <rPr>
        <sz val="11"/>
        <color rgb="FF000000"/>
        <rFont val="Calibri"/>
        <family val="0"/>
        <charset val="1"/>
      </rPr>
      <t xml:space="preserve">×</t>
    </r>
    <r>
      <rPr>
        <sz val="11"/>
        <color rgb="FF000000"/>
        <rFont val="Noto Sans CJK SC"/>
        <family val="2"/>
      </rPr>
      <t xml:space="preserve">인건비율</t>
    </r>
  </si>
  <si>
    <r>
      <rPr>
        <sz val="11"/>
        <color rgb="FF000000"/>
        <rFont val="Noto Sans CJK SC"/>
        <family val="2"/>
      </rPr>
      <t xml:space="preserve">임차료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월</t>
    </r>
    <r>
      <rPr>
        <sz val="11"/>
        <color rgb="FF000000"/>
        <rFont val="Calibri"/>
        <family val="0"/>
        <charset val="1"/>
      </rPr>
      <t xml:space="preserve">)</t>
    </r>
  </si>
  <si>
    <r>
      <rPr>
        <sz val="11"/>
        <color rgb="FF000000"/>
        <rFont val="Noto Sans CJK SC"/>
        <family val="2"/>
      </rPr>
      <t xml:space="preserve">원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월</t>
    </r>
  </si>
  <si>
    <r>
      <rPr>
        <sz val="11"/>
        <color rgb="FF000000"/>
        <rFont val="Noto Sans CJK SC"/>
        <family val="2"/>
      </rPr>
      <t xml:space="preserve">사용자 입력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보증금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권리금 제외</t>
    </r>
  </si>
  <si>
    <t xml:space="preserve">입력 고정비</t>
  </si>
  <si>
    <r>
      <rPr>
        <sz val="11"/>
        <color rgb="FF000000"/>
        <rFont val="Noto Sans CJK SC"/>
        <family val="2"/>
      </rPr>
      <t xml:space="preserve">공과금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통신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기타</t>
    </r>
    <r>
      <rPr>
        <sz val="11"/>
        <color rgb="FF000000"/>
        <rFont val="Calibri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월</t>
    </r>
    <r>
      <rPr>
        <sz val="11"/>
        <color rgb="FF000000"/>
        <rFont val="Calibri"/>
        <family val="0"/>
        <charset val="1"/>
      </rPr>
      <t xml:space="preserve">)</t>
    </r>
  </si>
  <si>
    <t xml:space="preserve">사용자 입력</t>
  </si>
  <si>
    <r>
      <rPr>
        <sz val="11"/>
        <color rgb="FF000000"/>
        <rFont val="Noto Sans CJK SC"/>
        <family val="2"/>
      </rPr>
      <t xml:space="preserve">로열티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광고분담률</t>
    </r>
  </si>
  <si>
    <r>
      <rPr>
        <sz val="11"/>
        <color rgb="FF000000"/>
        <rFont val="Noto Sans CJK SC"/>
        <family val="2"/>
      </rPr>
      <t xml:space="preserve">사용자 입력</t>
    </r>
    <r>
      <rPr>
        <sz val="11"/>
        <color rgb="FF000000"/>
        <rFont val="Calibri"/>
        <family val="0"/>
        <charset val="1"/>
      </rPr>
      <t xml:space="preserve">. </t>
    </r>
    <r>
      <rPr>
        <sz val="11"/>
        <color rgb="FF000000"/>
        <rFont val="Noto Sans CJK SC"/>
        <family val="2"/>
      </rPr>
      <t xml:space="preserve">정보공개서 확인 시 수정</t>
    </r>
  </si>
  <si>
    <r>
      <rPr>
        <sz val="11"/>
        <color rgb="FF000000"/>
        <rFont val="Noto Sans CJK SC"/>
        <family val="2"/>
      </rPr>
      <t xml:space="preserve">월매출</t>
    </r>
    <r>
      <rPr>
        <sz val="11"/>
        <color rgb="FF000000"/>
        <rFont val="Calibri"/>
        <family val="0"/>
        <charset val="1"/>
      </rPr>
      <t xml:space="preserve">×</t>
    </r>
    <r>
      <rPr>
        <sz val="11"/>
        <color rgb="FF000000"/>
        <rFont val="Noto Sans CJK SC"/>
        <family val="2"/>
      </rPr>
      <t xml:space="preserve">로열티율</t>
    </r>
  </si>
  <si>
    <t xml:space="preserve">주의</t>
  </si>
  <si>
    <r>
      <rPr>
        <sz val="11"/>
        <rFont val="Noto Sans CJK SC"/>
        <family val="2"/>
      </rPr>
      <t xml:space="preserve">노란색 값을 수정하면 운영이익 시트의 모든 브랜드 결과가 자동으로 바뀝니다</t>
    </r>
    <r>
      <rPr>
        <sz val="11"/>
        <rFont val="Calibri"/>
        <family val="0"/>
        <charset val="1"/>
      </rPr>
      <t xml:space="preserve">. </t>
    </r>
    <r>
      <rPr>
        <sz val="11"/>
        <rFont val="Noto Sans CJK SC"/>
        <family val="2"/>
      </rPr>
      <t xml:space="preserve">예시 가정은 원자료 수치가 아닙니다</t>
    </r>
    <r>
      <rPr>
        <sz val="11"/>
        <rFont val="Calibri"/>
        <family val="0"/>
        <charset val="1"/>
      </rPr>
      <t xml:space="preserve">.</t>
    </r>
  </si>
  <si>
    <t xml:space="preserve">브랜드별 예상 운영이익</t>
  </si>
  <si>
    <r>
      <rPr>
        <b val="true"/>
        <sz val="11"/>
        <color rgb="FFFFFFFF"/>
        <rFont val="Noto Sans CJK SC"/>
        <family val="2"/>
      </rPr>
      <t xml:space="preserve">월매출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</si>
  <si>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변동비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</si>
  <si>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인건비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</si>
  <si>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로열티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광고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</si>
  <si>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월 고정비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</si>
  <si>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예상 월 운영이익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</si>
  <si>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예상 연 운영이익</t>
    </r>
    <r>
      <rPr>
        <b val="true"/>
        <sz val="11"/>
        <color rgb="FFFFFFFF"/>
        <rFont val="Calibr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Calibri"/>
        <family val="0"/>
        <charset val="1"/>
      </rPr>
      <t xml:space="preserve">)</t>
    </r>
  </si>
  <si>
    <t xml:space="preserve">운영이익률</t>
  </si>
  <si>
    <t xml:space="preserve">매출 미확인 여부</t>
  </si>
  <si>
    <t xml:space="preserve">산식</t>
  </si>
  <si>
    <t xml:space="preserve">행별 산식 검증</t>
  </si>
  <si>
    <r>
      <rPr>
        <sz val="11"/>
        <color rgb="FF000000"/>
        <rFont val="Noto Sans CJK SC"/>
        <family val="2"/>
      </rPr>
      <t xml:space="preserve">매출−변동비−인건비−로열티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광고−고정비</t>
    </r>
  </si>
  <si>
    <t xml:space="preserve">분석 결과 검증 및 제한사항</t>
  </si>
  <si>
    <t xml:space="preserve">검증 항목</t>
  </si>
  <si>
    <t xml:space="preserve">검증 결과</t>
  </si>
  <si>
    <r>
      <rPr>
        <b val="true"/>
        <sz val="11"/>
        <color rgb="FFFFFFFF"/>
        <rFont val="Noto Sans CJK SC"/>
        <family val="2"/>
      </rPr>
      <t xml:space="preserve">기준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계산식</t>
    </r>
  </si>
  <si>
    <t xml:space="preserve">상태</t>
  </si>
  <si>
    <t xml:space="preserve">확인 포인트</t>
  </si>
  <si>
    <t xml:space="preserve">원자료 한계</t>
  </si>
  <si>
    <t xml:space="preserve">비고</t>
  </si>
  <si>
    <t xml:space="preserve">브랜드 원장 행 수</t>
  </si>
  <si>
    <t xml:space="preserve">통합 브랜드 수와 원자료 파일 수 비교</t>
  </si>
  <si>
    <t xml:space="preserve">확인</t>
  </si>
  <si>
    <t xml:space="preserve">브랜드별 중복 여부</t>
  </si>
  <si>
    <r>
      <rPr>
        <sz val="11"/>
        <color rgb="FF000000"/>
        <rFont val="Noto Sans CJK SC"/>
        <family val="2"/>
      </rPr>
      <t xml:space="preserve">브랜드별 기준연도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자료 출처가 다름</t>
    </r>
  </si>
  <si>
    <t xml:space="preserve">매출 숫자 표본 수</t>
  </si>
  <si>
    <t xml:space="preserve">월매출 숫자형 셀 개수</t>
  </si>
  <si>
    <t xml:space="preserve">업종 평균 표본 수와 일치해야 함</t>
  </si>
  <si>
    <r>
      <rPr>
        <sz val="11"/>
        <color rgb="FF000000"/>
        <rFont val="Noto Sans CJK SC"/>
        <family val="2"/>
      </rPr>
      <t xml:space="preserve">교촌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편의점 일부 등 월매출 미확인</t>
    </r>
  </si>
  <si>
    <t xml:space="preserve">매출 미확인 수</t>
  </si>
  <si>
    <r>
      <rPr>
        <sz val="11"/>
        <color rgb="FF000000"/>
        <rFont val="Noto Sans CJK SC"/>
        <family val="2"/>
      </rPr>
      <t xml:space="preserve">빈칸을 </t>
    </r>
    <r>
      <rPr>
        <sz val="11"/>
        <color rgb="FF000000"/>
        <rFont val="Calibri"/>
        <family val="0"/>
        <charset val="1"/>
      </rPr>
      <t xml:space="preserve">0</t>
    </r>
    <r>
      <rPr>
        <sz val="11"/>
        <color rgb="FF000000"/>
        <rFont val="Noto Sans CJK SC"/>
        <family val="2"/>
      </rPr>
      <t xml:space="preserve">으로 처리하지 않음</t>
    </r>
  </si>
  <si>
    <t xml:space="preserve">누락값은 평균에서 제외</t>
  </si>
  <si>
    <t xml:space="preserve">원자료에서 숫자 미제공</t>
  </si>
  <si>
    <t xml:space="preserve">운영이익 산식 일치</t>
  </si>
  <si>
    <r>
      <rPr>
        <sz val="11"/>
        <color rgb="FF000000"/>
        <rFont val="Noto Sans CJK SC"/>
        <family val="2"/>
      </rPr>
      <t xml:space="preserve">각 행의 </t>
    </r>
    <r>
      <rPr>
        <sz val="11"/>
        <color rgb="FF000000"/>
        <rFont val="Calibri"/>
        <family val="0"/>
        <charset val="1"/>
      </rPr>
      <t xml:space="preserve">H</t>
    </r>
    <r>
      <rPr>
        <sz val="11"/>
        <color rgb="FF000000"/>
        <rFont val="Noto Sans CJK SC"/>
        <family val="2"/>
      </rPr>
      <t xml:space="preserve">열과 </t>
    </r>
    <r>
      <rPr>
        <sz val="11"/>
        <color rgb="FF000000"/>
        <rFont val="Calibri"/>
        <family val="0"/>
        <charset val="1"/>
      </rPr>
      <t xml:space="preserve">C−D−E−F−G </t>
    </r>
    <r>
      <rPr>
        <sz val="11"/>
        <color rgb="FF000000"/>
        <rFont val="Noto Sans CJK SC"/>
        <family val="2"/>
      </rPr>
      <t xml:space="preserve">재계산 결과가 일치하는 행 수</t>
    </r>
  </si>
  <si>
    <r>
      <rPr>
        <sz val="11"/>
        <color rgb="FF000000"/>
        <rFont val="Noto Sans CJK SC"/>
        <family val="2"/>
      </rPr>
      <t xml:space="preserve">운영이익 시트 </t>
    </r>
    <r>
      <rPr>
        <sz val="11"/>
        <color rgb="FF000000"/>
        <rFont val="Calibri"/>
        <family val="0"/>
        <charset val="1"/>
      </rPr>
      <t xml:space="preserve">M</t>
    </r>
    <r>
      <rPr>
        <sz val="11"/>
        <color rgb="FF000000"/>
        <rFont val="Noto Sans CJK SC"/>
        <family val="2"/>
      </rPr>
      <t xml:space="preserve">열에 오류가 없어야 함</t>
    </r>
  </si>
  <si>
    <t xml:space="preserve">비용 가정은 사용자 입력값</t>
  </si>
  <si>
    <t xml:space="preserve">미확인 매출 행은 별도 제외</t>
  </si>
  <si>
    <t xml:space="preserve">지역 원천 행 수</t>
  </si>
  <si>
    <t xml:space="preserve">지역 원장에 실제 관측치가 있는지</t>
  </si>
  <si>
    <t xml:space="preserve">지역 집계와 원천 행 수 대조</t>
  </si>
  <si>
    <r>
      <rPr>
        <sz val="11"/>
        <color rgb="FF000000"/>
        <rFont val="Noto Sans CJK SC"/>
        <family val="2"/>
      </rPr>
      <t xml:space="preserve">지역 기준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수집시점이 업종별 상이</t>
    </r>
  </si>
  <si>
    <t xml:space="preserve">주요 제한사항</t>
  </si>
  <si>
    <t xml:space="preserve">•</t>
  </si>
  <si>
    <r>
      <rPr>
        <sz val="11"/>
        <color rgb="FF000000"/>
        <rFont val="Noto Sans CJK SC"/>
        <family val="2"/>
      </rPr>
      <t xml:space="preserve">매출 비교는 원자료가 제공한 대표 평균값을 사용하며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동일한 </t>
    </r>
    <r>
      <rPr>
        <sz val="11"/>
        <color rgb="FF000000"/>
        <rFont val="Calibri"/>
        <family val="0"/>
        <charset val="1"/>
      </rPr>
      <t xml:space="preserve">VAT </t>
    </r>
    <r>
      <rPr>
        <sz val="11"/>
        <color rgb="FF000000"/>
        <rFont val="Noto Sans CJK SC"/>
        <family val="2"/>
      </rPr>
      <t xml:space="preserve">포함 여부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조사기간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평수 기준으로 완전히 통일되지 않을 수 있습니다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</si>
  <si>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Noto Sans CJK SC"/>
        <family val="2"/>
      </rPr>
      <t xml:space="preserve">서울 구별 매장 수는 대부분 현재 공식 매장찾기 목록이며 </t>
    </r>
    <r>
      <rPr>
        <sz val="11"/>
        <color rgb="FF000000"/>
        <rFont val="Calibri"/>
        <family val="0"/>
        <charset val="1"/>
      </rPr>
      <t xml:space="preserve">2024/2025</t>
    </r>
    <r>
      <rPr>
        <sz val="11"/>
        <color rgb="FF000000"/>
        <rFont val="Noto Sans CJK SC"/>
        <family val="2"/>
      </rPr>
      <t xml:space="preserve">년 말 통계가 아닐 수 있습니다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</si>
  <si>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Noto Sans CJK SC"/>
        <family val="2"/>
      </rPr>
      <t xml:space="preserve">창업비용 합계는 숫자로 표시된 항목만 합산했고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원자료의 “</t>
    </r>
    <r>
      <rPr>
        <sz val="11"/>
        <color rgb="FF000000"/>
        <rFont val="Calibri"/>
        <family val="0"/>
        <charset val="1"/>
      </rPr>
      <t xml:space="preserve">-”·</t>
    </r>
    <r>
      <rPr>
        <sz val="11"/>
        <color rgb="FF000000"/>
        <rFont val="Noto Sans CJK SC"/>
        <family val="2"/>
      </rPr>
      <t xml:space="preserve">빈칸은 미확인으로 제외했습니다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</si>
  <si>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sz val="11"/>
        <color rgb="FF000000"/>
        <rFont val="Noto Sans CJK SC"/>
        <family val="2"/>
      </rPr>
      <t xml:space="preserve">운영이익은 사용자가 입력한 비용 가정을 적용한 예상치이며 실제 손익계산서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세무 신고용 수치가 아닙니다</t>
    </r>
    <r>
      <rPr>
        <sz val="11"/>
        <color rgb="FF000000"/>
        <rFont val="Calibri"/>
        <family val="0"/>
        <charset val="1"/>
      </rPr>
      <t xml:space="preserve">.</t>
    </r>
  </si>
  <si>
    <r>
      <rPr>
        <b val="true"/>
        <sz val="16"/>
        <color rgb="FFFFFFFF"/>
        <rFont val="Calibri"/>
        <family val="0"/>
        <charset val="1"/>
      </rPr>
      <t xml:space="preserve">API</t>
    </r>
    <r>
      <rPr>
        <b val="true"/>
        <sz val="16"/>
        <color rgb="FFFFFFFF"/>
        <rFont val="Noto Sans CJK SC"/>
        <family val="2"/>
      </rPr>
      <t xml:space="preserve">에 사용할 분석 함수 </t>
    </r>
    <r>
      <rPr>
        <b val="true"/>
        <sz val="16"/>
        <color rgb="FFFFFFFF"/>
        <rFont val="Calibri"/>
        <family val="0"/>
        <charset val="1"/>
      </rPr>
      <t xml:space="preserve">2</t>
    </r>
    <r>
      <rPr>
        <b val="true"/>
        <sz val="16"/>
        <color rgb="FFFFFFFF"/>
        <rFont val="Noto Sans CJK SC"/>
        <family val="2"/>
      </rPr>
      <t xml:space="preserve">종</t>
    </r>
  </si>
  <si>
    <t xml:space="preserve">함수명</t>
  </si>
  <si>
    <r>
      <rPr>
        <b val="true"/>
        <sz val="11"/>
        <color rgb="FFFFFFFF"/>
        <rFont val="Calibri"/>
        <family val="0"/>
        <charset val="1"/>
      </rPr>
      <t xml:space="preserve">Python </t>
    </r>
    <r>
      <rPr>
        <b val="true"/>
        <sz val="11"/>
        <color rgb="FFFFFFFF"/>
        <rFont val="Noto Sans CJK SC"/>
        <family val="2"/>
      </rPr>
      <t xml:space="preserve">예시 구현</t>
    </r>
  </si>
  <si>
    <t xml:space="preserve">입력 예시</t>
  </si>
  <si>
    <t xml:space="preserve">출력 예시</t>
  </si>
  <si>
    <t xml:space="preserve">aggregate_by_dimension</t>
  </si>
  <si>
    <r>
      <rPr>
        <sz val="11"/>
        <color rgb="FF000000"/>
        <rFont val="Noto Sans CJK SC"/>
        <family val="2"/>
      </rPr>
      <t xml:space="preserve">업종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브랜드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지역 차원별 집계</t>
    </r>
  </si>
  <si>
    <t xml:space="preserve">def aggregate_by_dimension(rows, dimensions):
    """rows: [{industry, brand, region, revenue_monthly, stores}]"""
    out = {}
    for row in rows:
        key = tuple(row.get(d) for d in dimensions)
        bucket = out.setdefault(key, {"count": 0, "revenue_sum": 0, "stores_sum": 0})
        bucket["count"] += 1
        bucket["revenue_sum"] += row.get("revenue_monthly") or 0
        bucket["stores_sum"] += row.get("stores") or 0
    return [{**dict(zip(dimensions, key)), **value} for key, value in out.items()]</t>
  </si>
  <si>
    <r>
      <rPr>
        <sz val="11"/>
        <color rgb="FF000000"/>
        <rFont val="Calibri"/>
        <family val="0"/>
        <charset val="1"/>
      </rPr>
      <t xml:space="preserve">rows=[{"industry":"</t>
    </r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","brand":"BBQ","region":"</t>
    </r>
    <r>
      <rPr>
        <sz val="11"/>
        <color rgb="FF000000"/>
        <rFont val="Noto Sans CJK SC"/>
        <family val="2"/>
      </rPr>
      <t xml:space="preserve">강남구</t>
    </r>
    <r>
      <rPr>
        <sz val="11"/>
        <color rgb="FF000000"/>
        <rFont val="Calibri"/>
        <family val="0"/>
        <charset val="1"/>
      </rPr>
      <t xml:space="preserve">","revenue_monthly":42390000,"stores":25}]
aggregate_by_dimension(rows,["industry","region"])</t>
    </r>
  </si>
  <si>
    <r>
      <rPr>
        <sz val="11"/>
        <color rgb="FF000000"/>
        <rFont val="Calibri"/>
        <family val="0"/>
        <charset val="1"/>
      </rPr>
      <t xml:space="preserve">[{"industry":"</t>
    </r>
    <r>
      <rPr>
        <sz val="11"/>
        <color rgb="FF000000"/>
        <rFont val="Noto Sans CJK SC"/>
        <family val="2"/>
      </rPr>
      <t xml:space="preserve">치킨</t>
    </r>
    <r>
      <rPr>
        <sz val="11"/>
        <color rgb="FF000000"/>
        <rFont val="Calibri"/>
        <family val="0"/>
        <charset val="1"/>
      </rPr>
      <t xml:space="preserve">","region":"</t>
    </r>
    <r>
      <rPr>
        <sz val="11"/>
        <color rgb="FF000000"/>
        <rFont val="Noto Sans CJK SC"/>
        <family val="2"/>
      </rPr>
      <t xml:space="preserve">강남구</t>
    </r>
    <r>
      <rPr>
        <sz val="11"/>
        <color rgb="FF000000"/>
        <rFont val="Calibri"/>
        <family val="0"/>
        <charset val="1"/>
      </rPr>
      <t xml:space="preserve">","count":1,"revenue_sum":42390000,"stores_sum":25}]</t>
    </r>
  </si>
  <si>
    <t xml:space="preserve">estimate_operating_profit</t>
  </si>
  <si>
    <r>
      <rPr>
        <sz val="11"/>
        <color rgb="FF000000"/>
        <rFont val="Noto Sans CJK SC"/>
        <family val="2"/>
      </rPr>
      <t xml:space="preserve">입력 비용으로 월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연 운영이익 계산</t>
    </r>
  </si>
  <si>
    <r>
      <rPr>
        <sz val="11"/>
        <color rgb="FF000000"/>
        <rFont val="Calibri"/>
        <family val="0"/>
        <charset val="1"/>
      </rPr>
      <t xml:space="preserve">def estimate_operating_profit(revenue_monthly, variable_rate=0.35, labor_rate=0.25, royalty_rate=0.0, fixed_cost=4000000):
    """</t>
    </r>
    <r>
      <rPr>
        <sz val="11"/>
        <color rgb="FF000000"/>
        <rFont val="Noto Sans CJK SC"/>
        <family val="2"/>
      </rPr>
      <t xml:space="preserve">누락 매출은 </t>
    </r>
    <r>
      <rPr>
        <sz val="11"/>
        <color rgb="FF000000"/>
        <rFont val="Calibri"/>
        <family val="0"/>
        <charset val="1"/>
      </rPr>
      <t xml:space="preserve">None</t>
    </r>
    <r>
      <rPr>
        <sz val="11"/>
        <color rgb="FF000000"/>
        <rFont val="Noto Sans CJK SC"/>
        <family val="2"/>
      </rPr>
      <t xml:space="preserve">으로 받아 </t>
    </r>
    <r>
      <rPr>
        <sz val="11"/>
        <color rgb="FF000000"/>
        <rFont val="Calibri"/>
        <family val="0"/>
        <charset val="1"/>
      </rPr>
      <t xml:space="preserve">None </t>
    </r>
    <r>
      <rPr>
        <sz val="11"/>
        <color rgb="FF000000"/>
        <rFont val="Noto Sans CJK SC"/>
        <family val="2"/>
      </rPr>
      <t xml:space="preserve">반환</t>
    </r>
    <r>
      <rPr>
        <sz val="11"/>
        <color rgb="FF000000"/>
        <rFont val="Calibri"/>
        <family val="0"/>
        <charset val="1"/>
      </rPr>
      <t xml:space="preserve">; </t>
    </r>
    <r>
      <rPr>
        <sz val="11"/>
        <color rgb="FF000000"/>
        <rFont val="Noto Sans CJK SC"/>
        <family val="2"/>
      </rPr>
      <t xml:space="preserve">세금</t>
    </r>
    <r>
      <rPr>
        <sz val="11"/>
        <color rgb="FF000000"/>
        <rFont val="Calibri"/>
        <family val="0"/>
        <charset val="1"/>
      </rPr>
      <t xml:space="preserve">·</t>
    </r>
    <r>
      <rPr>
        <sz val="11"/>
        <color rgb="FF000000"/>
        <rFont val="Noto Sans CJK SC"/>
        <family val="2"/>
      </rPr>
      <t xml:space="preserve">감가상각 제외</t>
    </r>
    <r>
      <rPr>
        <sz val="11"/>
        <color rgb="FF000000"/>
        <rFont val="Calibri"/>
        <family val="0"/>
        <charset val="1"/>
      </rPr>
      <t xml:space="preserve">"""
    if revenue_monthly is None:
        return {"monthly_profit": None, "annual_profit": None, "margin": None}
    monthly_profit = revenue_monthly * (1-variable_rate-labor_rate-royalty_rate) - fixed_cost
    return {"monthly_profit": monthly_profit,
            "annual_profit": monthly_profit * 12,
            "margin": monthly_profit / revenue_monthly if revenue_monthly else None}</t>
    </r>
  </si>
  <si>
    <t xml:space="preserve">estimate_operating_profit(42390000,0.35,0.25,0.0,4000000)</t>
  </si>
  <si>
    <t xml:space="preserve">{"monthly_profit":12917000,"annual_profit":155004000,"margin":0.3046}</t>
  </si>
  <si>
    <t xml:space="preserve">표준화된 브랜드 원천 데이터 및 출처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</si>
</sst>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Noto Sans CJK SC"/>
      <family val="2"/>
    </font>
    <font>
      <sz val="11"/>
      <name val="Calibri"/>
      <family val="0"/>
      <charset val="1"/>
    </font>
    <font>
      <sz val="11"/>
      <color theme="1"/>
      <name val="Noto Sans CJK SC"/>
      <family val="2"/>
    </font>
    <font>
      <b val="true"/>
      <sz val="16"/>
      <color rgb="FFFFFFFF"/>
      <name val="Noto Sans CJK SC"/>
      <family val="2"/>
    </font>
    <font>
      <b val="true"/>
      <sz val="16"/>
      <color rgb="FFFFFFFF"/>
      <name val="Calibri"/>
      <family val="0"/>
      <charset val="1"/>
    </font>
    <font>
      <i val="true"/>
      <sz val="11"/>
      <color rgb="FF666666"/>
      <name val="Noto Sans CJK SC"/>
      <family val="2"/>
    </font>
    <font>
      <i val="true"/>
      <sz val="11"/>
      <color rgb="FF666666"/>
      <name val="Calibr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Calibri"/>
      <family val="0"/>
      <charset val="1"/>
    </font>
    <font>
      <sz val="11"/>
      <color rgb="FF000000"/>
      <name val="Noto Sans CJK SC"/>
      <family val="2"/>
    </font>
    <font>
      <sz val="11"/>
      <color rgb="FF000000"/>
      <name val="Calibri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000"/>
      <rgbColor rgb="FFFF9900"/>
      <rgbColor rgb="FFFF6600"/>
      <rgbColor rgb="FF666666"/>
      <rgbColor rgb="FF70AD4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브랜드별 월평균 매출 비교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브랜드_매출비교!D4</c:f>
              <c:strCache>
                <c:ptCount val="1"/>
                <c:pt idx="0">
                  <c:v>월평균 매출(원/월)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브랜드_매출비교!$B$5:$B$24</c:f>
              <c:strCache>
                <c:ptCount val="20"/>
                <c:pt idx="0">
                  <c:v>AivaHair</c:v>
                </c:pt>
                <c:pt idx="1">
                  <c:v>Blueclub</c:v>
                </c:pt>
                <c:pt idx="2">
                  <c:v>LeeChulHairKeker</c:v>
                </c:pt>
                <c:pt idx="3">
                  <c:v>ParkSeungChul</c:v>
                </c:pt>
                <c:pt idx="4">
                  <c:v>XEOHair</c:v>
                </c:pt>
                <c:pt idx="5">
                  <c:v>BHC</c:v>
                </c:pt>
                <c:pt idx="6">
                  <c:v>교촌치킨</c:v>
                </c:pt>
                <c:pt idx="7">
                  <c:v>굽네치킨</c:v>
                </c:pt>
                <c:pt idx="8">
                  <c:v>비비큐</c:v>
                </c:pt>
                <c:pt idx="9">
                  <c:v>처갓집양념치킨</c:v>
                </c:pt>
                <c:pt idx="10">
                  <c:v>메가커피</c:v>
                </c:pt>
                <c:pt idx="11">
                  <c:v>메가커피</c:v>
                </c:pt>
                <c:pt idx="12">
                  <c:v>컴포즈커피</c:v>
                </c:pt>
                <c:pt idx="13">
                  <c:v>이디야커피</c:v>
                </c:pt>
                <c:pt idx="14">
                  <c:v>빽다방</c:v>
                </c:pt>
                <c:pt idx="15">
                  <c:v>투썸플레이스</c:v>
                </c:pt>
                <c:pt idx="16">
                  <c:v>CU</c:v>
                </c:pt>
                <c:pt idx="17">
                  <c:v>GS25</c:v>
                </c:pt>
                <c:pt idx="18">
                  <c:v>세븐일레븐</c:v>
                </c:pt>
                <c:pt idx="19">
                  <c:v>이마트24</c:v>
                </c:pt>
              </c:strCache>
            </c:strRef>
          </c:cat>
          <c:val>
            <c:numRef>
              <c:f>브랜드_매출비교!$D$5:$D$24</c:f>
              <c:numCache>
                <c:formatCode>#,##0;\(#,##0\);\-</c:formatCode>
                <c:ptCount val="20"/>
                <c:pt idx="0">
                  <c:v>28980000</c:v>
                </c:pt>
                <c:pt idx="1">
                  <c:v>6870000</c:v>
                </c:pt>
                <c:pt idx="2">
                  <c:v>42690000</c:v>
                </c:pt>
                <c:pt idx="3">
                  <c:v>45170000</c:v>
                </c:pt>
                <c:pt idx="4">
                  <c:v>36580000</c:v>
                </c:pt>
                <c:pt idx="5">
                  <c:v>53080000</c:v>
                </c:pt>
                <c:pt idx="6">
                  <c:v>65640000</c:v>
                </c:pt>
                <c:pt idx="7">
                  <c:v>41550000</c:v>
                </c:pt>
                <c:pt idx="8">
                  <c:v>42390000</c:v>
                </c:pt>
                <c:pt idx="9">
                  <c:v>28570000</c:v>
                </c:pt>
                <c:pt idx="18">
                  <c:v>42600000</c:v>
                </c:pt>
                <c:pt idx="19">
                  <c:v>37620000</c:v>
                </c:pt>
              </c:numCache>
            </c:numRef>
          </c:val>
        </c:ser>
        <c:gapWidth val="150"/>
        <c:overlap val="0"/>
        <c:axId val="99779490"/>
        <c:axId val="11752755"/>
      </c:barChart>
      <c:catAx>
        <c:axId val="9977949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원/월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52755"/>
        <c:crosses val="autoZero"/>
        <c:auto val="1"/>
        <c:lblAlgn val="ctr"/>
        <c:lblOffset val="100"/>
        <c:noMultiLvlLbl val="0"/>
      </c:catAx>
      <c:valAx>
        <c:axId val="11752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브랜드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794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51120</xdr:rowOff>
    </xdr:from>
    <xdr:to>
      <xdr:col>21</xdr:col>
      <xdr:colOff>290160</xdr:colOff>
      <xdr:row>16</xdr:row>
      <xdr:rowOff>69840</xdr:rowOff>
    </xdr:to>
    <xdr:graphicFrame>
      <xdr:nvGraphicFramePr>
        <xdr:cNvPr id="0" name="Chart 1"/>
        <xdr:cNvGraphicFramePr/>
      </xdr:nvGraphicFramePr>
      <xdr:xfrm>
        <a:off x="1989000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randRaw" displayName="BrandRaw" ref="A4:K24" headerRowCount="1" totalsRowCount="0" totalsRowShown="0">
  <autoFilter ref="A4:K24"/>
  <tableColumns count="11">
    <tableColumn id="1" name="업종"/>
    <tableColumn id="2" name="브랜드"/>
    <tableColumn id="3" name="매출 기준연도"/>
    <tableColumn id="4" name="월평균 매출(원/월)"/>
    <tableColumn id="5" name="연환산 매출(원/년)"/>
    <tableColumn id="6" name="매장 수"/>
    <tableColumn id="7" name="매장수 기준연도"/>
    <tableColumn id="8" name="숫자형 창업비용 합계(원)"/>
    <tableColumn id="9" name="비용 집계 기준"/>
    <tableColumn id="10" name="매출 출처/시트"/>
    <tableColumn id="11" name="원본 상대경로"/>
  </tableColumns>
</table>
</file>

<file path=xl/tables/table2.xml><?xml version="1.0" encoding="utf-8"?>
<table xmlns="http://schemas.openxmlformats.org/spreadsheetml/2006/main" id="2" name="BrandSummary" displayName="BrandSummary" ref="A4:K24" headerRowCount="1" totalsRowCount="0" totalsRowShown="0">
  <autoFilter ref="A4:K24"/>
  <tableColumns count="11">
    <tableColumn id="1" name="업종"/>
    <tableColumn id="2" name="브랜드"/>
    <tableColumn id="3" name="매출 기준연도"/>
    <tableColumn id="4" name="월평균 매출(원/월)"/>
    <tableColumn id="5" name="연환산 매출(원/년)"/>
    <tableColumn id="6" name="매장 수"/>
    <tableColumn id="7" name="매장수 기준연도"/>
    <tableColumn id="8" name="숫자형 창업비용 합계(원)"/>
    <tableColumn id="9" name="비용 집계 기준"/>
    <tableColumn id="10" name="매출 출처/시트"/>
    <tableColumn id="11" name="원본 상대경로"/>
  </tableColumns>
</table>
</file>

<file path=xl/tables/table3.xml><?xml version="1.0" encoding="utf-8"?>
<table xmlns="http://schemas.openxmlformats.org/spreadsheetml/2006/main" id="3" name="IndustryAvg" displayName="IndustryAvg" ref="A4:H8" headerRowCount="1" totalsRowCount="0" totalsRowShown="0">
  <autoFilter ref="A4:H8"/>
  <tableColumns count="8">
    <tableColumn id="1" name="업종"/>
    <tableColumn id="2" name="매출 입력 브랜드 수"/>
    <tableColumn id="3" name="매출 미확인 브랜드 수"/>
    <tableColumn id="4" name="평균 월매출(원/월)"/>
    <tableColumn id="5" name="평균 연매출(원/년)"/>
    <tableColumn id="6" name="최고 월매출 브랜드"/>
    <tableColumn id="7" name="최저 월매출 브랜드"/>
    <tableColumn id="8" name="산식/해석"/>
  </tableColumns>
</table>
</file>

<file path=xl/tables/table4.xml><?xml version="1.0" encoding="utf-8"?>
<table xmlns="http://schemas.openxmlformats.org/spreadsheetml/2006/main" id="4" name="ProfitCalc" displayName="ProfitCalc" ref="A4:M24" headerRowCount="1" totalsRowCount="0" totalsRowShown="0">
  <autoFilter ref="A4:M24"/>
  <tableColumns count="13">
    <tableColumn id="1" name="업종"/>
    <tableColumn id="2" name="브랜드"/>
    <tableColumn id="3" name="월매출(원)"/>
    <tableColumn id="4" name="변동비(원)"/>
    <tableColumn id="5" name="인건비(원)"/>
    <tableColumn id="6" name="로열티/광고(원)"/>
    <tableColumn id="7" name="월 고정비(원)"/>
    <tableColumn id="8" name="예상 월 운영이익(원)"/>
    <tableColumn id="9" name="예상 연 운영이익(원)"/>
    <tableColumn id="10" name="운영이익률"/>
    <tableColumn id="11" name="매출 미확인 여부"/>
    <tableColumn id="12" name="산식"/>
    <tableColumn id="13" name="행별 산식 검증"/>
  </tableColumns>
</table>
</file>

<file path=xl/tables/table5.xml><?xml version="1.0" encoding="utf-8"?>
<table xmlns="http://schemas.openxmlformats.org/spreadsheetml/2006/main" id="5" name="RegionAgg" displayName="RegionAgg" ref="A4:H76" headerRowCount="1" totalsRowCount="0" totalsRowShown="0">
  <autoFilter ref="A4:H76"/>
  <tableColumns count="8">
    <tableColumn id="1" name="업종"/>
    <tableColumn id="2" name="지역권역"/>
    <tableColumn id="3" name="지역"/>
    <tableColumn id="4" name="브랜드 수"/>
    <tableColumn id="5" name="점포/매출 관측치 수"/>
    <tableColumn id="6" name="수량·매출 합계"/>
    <tableColumn id="7" name="평균 수량·매출"/>
    <tableColumn id="8" name="해석"/>
  </tableColumns>
</table>
</file>

<file path=xl/tables/table6.xml><?xml version="1.0" encoding="utf-8"?>
<table xmlns="http://schemas.openxmlformats.org/spreadsheetml/2006/main" id="6" name="RegionalRaw" displayName="RegionalRaw" ref="A4:H342" headerRowCount="1" totalsRowCount="0" totalsRowShown="0">
  <autoFilter ref="A4:H342"/>
  <tableColumns count="8">
    <tableColumn id="1" name="업종"/>
    <tableColumn id="2" name="브랜드"/>
    <tableColumn id="3" name="지역권역"/>
    <tableColumn id="4" name="지역"/>
    <tableColumn id="5" name="기준연도"/>
    <tableColumn id="6" name="수량/매출 값"/>
    <tableColumn id="7" name="지표/단위"/>
    <tableColumn id="8" name="원본 상대경로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8" min="3" style="0" width="18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4" customFormat="false" ht="17.15" hidden="false" customHeight="true" outlineLevel="0" collapsed="false">
      <c r="A4" s="2" t="s">
        <v>1</v>
      </c>
      <c r="B4" s="3" t="s">
        <v>2</v>
      </c>
      <c r="C4" s="3"/>
      <c r="D4" s="3"/>
      <c r="E4" s="3"/>
      <c r="F4" s="3"/>
      <c r="G4" s="3"/>
      <c r="H4" s="3"/>
    </row>
    <row r="5" customFormat="false" ht="17.15" hidden="false" customHeight="true" outlineLevel="0" collapsed="false">
      <c r="A5" s="2" t="s">
        <v>3</v>
      </c>
      <c r="B5" s="4" t="s">
        <v>4</v>
      </c>
      <c r="C5" s="4"/>
      <c r="D5" s="4"/>
      <c r="E5" s="4"/>
      <c r="F5" s="4"/>
      <c r="G5" s="4"/>
      <c r="H5" s="4"/>
    </row>
    <row r="6" customFormat="false" ht="17.15" hidden="false" customHeight="true" outlineLevel="0" collapsed="false">
      <c r="A6" s="2" t="s">
        <v>5</v>
      </c>
      <c r="B6" s="3" t="s">
        <v>6</v>
      </c>
      <c r="C6" s="3"/>
      <c r="D6" s="3"/>
      <c r="E6" s="3"/>
      <c r="F6" s="3"/>
      <c r="G6" s="3"/>
      <c r="H6" s="3"/>
    </row>
    <row r="7" customFormat="false" ht="17.15" hidden="false" customHeight="true" outlineLevel="0" collapsed="false">
      <c r="A7" s="2" t="s">
        <v>7</v>
      </c>
      <c r="B7" s="3" t="s">
        <v>8</v>
      </c>
      <c r="C7" s="3"/>
      <c r="D7" s="3"/>
      <c r="E7" s="3"/>
      <c r="F7" s="3"/>
      <c r="G7" s="3"/>
      <c r="H7" s="3"/>
    </row>
    <row r="8" customFormat="false" ht="17.15" hidden="false" customHeight="true" outlineLevel="0" collapsed="false">
      <c r="A8" s="2" t="s">
        <v>9</v>
      </c>
      <c r="B8" s="3" t="s">
        <v>10</v>
      </c>
      <c r="C8" s="3"/>
      <c r="D8" s="3"/>
      <c r="E8" s="3"/>
      <c r="F8" s="3"/>
      <c r="G8" s="3"/>
      <c r="H8" s="3"/>
    </row>
    <row r="9" customFormat="false" ht="17.15" hidden="false" customHeight="true" outlineLevel="0" collapsed="false">
      <c r="A9" s="2" t="s">
        <v>11</v>
      </c>
      <c r="B9" s="3" t="s">
        <v>12</v>
      </c>
      <c r="C9" s="3"/>
      <c r="D9" s="3"/>
      <c r="E9" s="3"/>
      <c r="F9" s="3"/>
      <c r="G9" s="3"/>
      <c r="H9" s="3"/>
    </row>
    <row r="10" customFormat="false" ht="17.15" hidden="false" customHeight="true" outlineLevel="0" collapsed="false">
      <c r="A10" s="2" t="s">
        <v>13</v>
      </c>
      <c r="B10" s="3" t="s">
        <v>14</v>
      </c>
      <c r="C10" s="3"/>
      <c r="D10" s="3"/>
      <c r="E10" s="3"/>
      <c r="F10" s="3"/>
      <c r="G10" s="3"/>
      <c r="H10" s="3"/>
    </row>
    <row r="11" customFormat="false" ht="17.15" hidden="false" customHeight="true" outlineLevel="0" collapsed="false">
      <c r="A11" s="2" t="s">
        <v>15</v>
      </c>
      <c r="B11" s="3" t="s">
        <v>16</v>
      </c>
      <c r="C11" s="3"/>
      <c r="D11" s="3"/>
      <c r="E11" s="3"/>
      <c r="F11" s="3"/>
      <c r="G11" s="3"/>
      <c r="H11" s="3"/>
    </row>
  </sheetData>
  <mergeCells count="9">
    <mergeCell ref="A1:H1"/>
    <mergeCell ref="B4:H4"/>
    <mergeCell ref="B5:H5"/>
    <mergeCell ref="B6:H6"/>
    <mergeCell ref="B7:H7"/>
    <mergeCell ref="B8:H8"/>
    <mergeCell ref="B9:H9"/>
    <mergeCell ref="B10:H10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38"/>
    <col collapsed="false" customWidth="true" hidden="false" outlineLevel="0" max="10" min="10" style="0" width="30"/>
    <col collapsed="false" customWidth="true" hidden="false" outlineLevel="0" max="11" min="11" style="0" width="42"/>
  </cols>
  <sheetData>
    <row r="1" customFormat="false" ht="23.85" hidden="false" customHeight="false" outlineLevel="0" collapsed="false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7.15" hidden="false" customHeight="false" outlineLevel="0" collapsed="false">
      <c r="A2" s="6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32.8" hidden="false" customHeight="false" outlineLevel="0" collapsed="false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29</v>
      </c>
    </row>
    <row r="5" customFormat="false" ht="17.15" hidden="false" customHeight="false" outlineLevel="0" collapsed="false">
      <c r="A5" s="8" t="s">
        <v>30</v>
      </c>
      <c r="B5" s="9" t="s">
        <v>31</v>
      </c>
      <c r="C5" s="8" t="n">
        <v>2025</v>
      </c>
      <c r="D5" s="10" t="n">
        <v>28980000</v>
      </c>
      <c r="E5" s="10" t="n">
        <v>347760000</v>
      </c>
      <c r="F5" s="8"/>
      <c r="G5" s="8"/>
      <c r="H5" s="10"/>
      <c r="I5" s="8" t="s">
        <v>32</v>
      </c>
      <c r="J5" s="8" t="s">
        <v>33</v>
      </c>
      <c r="K5" s="8" t="s">
        <v>34</v>
      </c>
    </row>
    <row r="6" customFormat="false" ht="17.15" hidden="false" customHeight="false" outlineLevel="0" collapsed="false">
      <c r="A6" s="8" t="s">
        <v>30</v>
      </c>
      <c r="B6" s="9" t="s">
        <v>35</v>
      </c>
      <c r="C6" s="8" t="n">
        <v>2025</v>
      </c>
      <c r="D6" s="10" t="n">
        <v>6870000</v>
      </c>
      <c r="E6" s="10" t="n">
        <v>82440000</v>
      </c>
      <c r="F6" s="8"/>
      <c r="G6" s="8"/>
      <c r="H6" s="10"/>
      <c r="I6" s="8" t="s">
        <v>32</v>
      </c>
      <c r="J6" s="8" t="s">
        <v>33</v>
      </c>
      <c r="K6" s="8" t="s">
        <v>36</v>
      </c>
    </row>
    <row r="7" customFormat="false" ht="17.15" hidden="false" customHeight="false" outlineLevel="0" collapsed="false">
      <c r="A7" s="8" t="s">
        <v>30</v>
      </c>
      <c r="B7" s="9" t="s">
        <v>37</v>
      </c>
      <c r="C7" s="8" t="n">
        <v>2024</v>
      </c>
      <c r="D7" s="10" t="n">
        <v>42690000</v>
      </c>
      <c r="E7" s="10" t="n">
        <v>512280000</v>
      </c>
      <c r="F7" s="8"/>
      <c r="G7" s="8"/>
      <c r="H7" s="10"/>
      <c r="I7" s="8" t="s">
        <v>32</v>
      </c>
      <c r="J7" s="8" t="s">
        <v>33</v>
      </c>
      <c r="K7" s="8" t="s">
        <v>38</v>
      </c>
    </row>
    <row r="8" customFormat="false" ht="17.15" hidden="false" customHeight="false" outlineLevel="0" collapsed="false">
      <c r="A8" s="8" t="s">
        <v>30</v>
      </c>
      <c r="B8" s="9" t="s">
        <v>39</v>
      </c>
      <c r="C8" s="8" t="n">
        <v>2024</v>
      </c>
      <c r="D8" s="10" t="n">
        <v>45170000</v>
      </c>
      <c r="E8" s="10" t="n">
        <v>542040000</v>
      </c>
      <c r="F8" s="8"/>
      <c r="G8" s="8"/>
      <c r="H8" s="10"/>
      <c r="I8" s="8" t="s">
        <v>32</v>
      </c>
      <c r="J8" s="8" t="s">
        <v>33</v>
      </c>
      <c r="K8" s="8" t="s">
        <v>40</v>
      </c>
    </row>
    <row r="9" customFormat="false" ht="17.15" hidden="false" customHeight="false" outlineLevel="0" collapsed="false">
      <c r="A9" s="8" t="s">
        <v>30</v>
      </c>
      <c r="B9" s="9" t="s">
        <v>41</v>
      </c>
      <c r="C9" s="8" t="n">
        <v>2025</v>
      </c>
      <c r="D9" s="10" t="n">
        <v>36580000</v>
      </c>
      <c r="E9" s="10" t="n">
        <v>438960000</v>
      </c>
      <c r="F9" s="8"/>
      <c r="G9" s="8"/>
      <c r="H9" s="10"/>
      <c r="I9" s="8" t="s">
        <v>32</v>
      </c>
      <c r="J9" s="8" t="s">
        <v>33</v>
      </c>
      <c r="K9" s="8" t="s">
        <v>42</v>
      </c>
    </row>
    <row r="10" customFormat="false" ht="17.15" hidden="false" customHeight="false" outlineLevel="0" collapsed="false">
      <c r="A10" s="8" t="s">
        <v>43</v>
      </c>
      <c r="B10" s="9" t="s">
        <v>44</v>
      </c>
      <c r="C10" s="8" t="n">
        <v>2025</v>
      </c>
      <c r="D10" s="10" t="n">
        <v>53080000</v>
      </c>
      <c r="E10" s="10" t="n">
        <v>636960000</v>
      </c>
      <c r="F10" s="8" t="n">
        <v>2224</v>
      </c>
      <c r="G10" s="8" t="n">
        <v>2026</v>
      </c>
      <c r="H10" s="10" t="n">
        <v>278640000</v>
      </c>
      <c r="I10" s="8" t="s">
        <v>45</v>
      </c>
      <c r="J10" s="8" t="s">
        <v>46</v>
      </c>
      <c r="K10" s="8" t="s">
        <v>47</v>
      </c>
    </row>
    <row r="11" customFormat="false" ht="17.15" hidden="false" customHeight="false" outlineLevel="0" collapsed="false">
      <c r="A11" s="8" t="s">
        <v>43</v>
      </c>
      <c r="B11" s="8" t="s">
        <v>48</v>
      </c>
      <c r="C11" s="8" t="n">
        <v>2025</v>
      </c>
      <c r="D11" s="10" t="n">
        <v>65640000</v>
      </c>
      <c r="E11" s="10" t="n">
        <v>787680000</v>
      </c>
      <c r="F11" s="8" t="n">
        <v>1362</v>
      </c>
      <c r="G11" s="8" t="n">
        <v>2025</v>
      </c>
      <c r="H11" s="10" t="n">
        <v>469580000</v>
      </c>
      <c r="I11" s="8" t="s">
        <v>45</v>
      </c>
      <c r="J11" s="8" t="s">
        <v>49</v>
      </c>
      <c r="K11" s="8" t="s">
        <v>50</v>
      </c>
    </row>
    <row r="12" customFormat="false" ht="17.15" hidden="false" customHeight="false" outlineLevel="0" collapsed="false">
      <c r="A12" s="8" t="s">
        <v>43</v>
      </c>
      <c r="B12" s="8" t="s">
        <v>51</v>
      </c>
      <c r="C12" s="8" t="n">
        <v>2024</v>
      </c>
      <c r="D12" s="10" t="n">
        <v>41550000</v>
      </c>
      <c r="E12" s="10" t="n">
        <v>498600000</v>
      </c>
      <c r="F12" s="8" t="n">
        <v>1252</v>
      </c>
      <c r="G12" s="8" t="n">
        <v>2026</v>
      </c>
      <c r="H12" s="10" t="n">
        <v>166540000</v>
      </c>
      <c r="I12" s="8" t="s">
        <v>45</v>
      </c>
      <c r="J12" s="8" t="s">
        <v>52</v>
      </c>
      <c r="K12" s="8" t="s">
        <v>53</v>
      </c>
    </row>
    <row r="13" customFormat="false" ht="17.15" hidden="false" customHeight="false" outlineLevel="0" collapsed="false">
      <c r="A13" s="8" t="s">
        <v>43</v>
      </c>
      <c r="B13" s="8" t="s">
        <v>54</v>
      </c>
      <c r="C13" s="8" t="n">
        <v>2024</v>
      </c>
      <c r="D13" s="10" t="n">
        <v>42390000</v>
      </c>
      <c r="E13" s="10" t="n">
        <v>508680000</v>
      </c>
      <c r="F13" s="8" t="n">
        <v>2155</v>
      </c>
      <c r="G13" s="8" t="n">
        <v>2026</v>
      </c>
      <c r="H13" s="10" t="n">
        <v>181560000</v>
      </c>
      <c r="I13" s="8" t="s">
        <v>45</v>
      </c>
      <c r="J13" s="8" t="s">
        <v>55</v>
      </c>
      <c r="K13" s="8" t="s">
        <v>56</v>
      </c>
    </row>
    <row r="14" customFormat="false" ht="17.15" hidden="false" customHeight="false" outlineLevel="0" collapsed="false">
      <c r="A14" s="8" t="s">
        <v>43</v>
      </c>
      <c r="B14" s="8" t="s">
        <v>57</v>
      </c>
      <c r="C14" s="8" t="n">
        <v>2025</v>
      </c>
      <c r="D14" s="10" t="n">
        <v>28570000</v>
      </c>
      <c r="E14" s="10" t="n">
        <v>342840000</v>
      </c>
      <c r="F14" s="8" t="n">
        <v>1251</v>
      </c>
      <c r="G14" s="8" t="n">
        <v>2026</v>
      </c>
      <c r="H14" s="10" t="n">
        <v>58100000</v>
      </c>
      <c r="I14" s="8" t="s">
        <v>45</v>
      </c>
      <c r="J14" s="8" t="s">
        <v>58</v>
      </c>
      <c r="K14" s="8" t="s">
        <v>59</v>
      </c>
    </row>
    <row r="15" customFormat="false" ht="17.15" hidden="false" customHeight="false" outlineLevel="0" collapsed="false">
      <c r="A15" s="8" t="s">
        <v>60</v>
      </c>
      <c r="B15" s="8" t="s">
        <v>61</v>
      </c>
      <c r="C15" s="8"/>
      <c r="D15" s="10"/>
      <c r="E15" s="10"/>
      <c r="F15" s="8" t="n">
        <v>4016</v>
      </c>
      <c r="G15" s="8" t="n">
        <v>2025</v>
      </c>
      <c r="H15" s="10"/>
      <c r="I15" s="8" t="s">
        <v>32</v>
      </c>
      <c r="J15" s="8"/>
      <c r="K15" s="8" t="s">
        <v>62</v>
      </c>
    </row>
    <row r="16" customFormat="false" ht="17.15" hidden="false" customHeight="false" outlineLevel="0" collapsed="false">
      <c r="A16" s="8" t="s">
        <v>60</v>
      </c>
      <c r="B16" s="8" t="s">
        <v>61</v>
      </c>
      <c r="C16" s="8"/>
      <c r="D16" s="10"/>
      <c r="E16" s="10"/>
      <c r="F16" s="8"/>
      <c r="G16" s="8"/>
      <c r="H16" s="10"/>
      <c r="I16" s="8" t="s">
        <v>32</v>
      </c>
      <c r="J16" s="8"/>
      <c r="K16" s="8" t="s">
        <v>63</v>
      </c>
    </row>
    <row r="17" customFormat="false" ht="17.15" hidden="false" customHeight="false" outlineLevel="0" collapsed="false">
      <c r="A17" s="8" t="s">
        <v>60</v>
      </c>
      <c r="B17" s="8" t="s">
        <v>64</v>
      </c>
      <c r="C17" s="8"/>
      <c r="D17" s="10"/>
      <c r="E17" s="10"/>
      <c r="F17" s="8" t="n">
        <v>2649</v>
      </c>
      <c r="G17" s="8" t="n">
        <v>2024</v>
      </c>
      <c r="H17" s="10"/>
      <c r="I17" s="8" t="s">
        <v>32</v>
      </c>
      <c r="J17" s="8"/>
      <c r="K17" s="8" t="s">
        <v>65</v>
      </c>
    </row>
    <row r="18" customFormat="false" ht="17.15" hidden="false" customHeight="false" outlineLevel="0" collapsed="false">
      <c r="A18" s="8" t="s">
        <v>60</v>
      </c>
      <c r="B18" s="8" t="s">
        <v>66</v>
      </c>
      <c r="C18" s="8"/>
      <c r="D18" s="10"/>
      <c r="E18" s="10"/>
      <c r="F18" s="8" t="n">
        <v>2581</v>
      </c>
      <c r="G18" s="8" t="n">
        <v>2024</v>
      </c>
      <c r="H18" s="10"/>
      <c r="I18" s="8" t="s">
        <v>32</v>
      </c>
      <c r="J18" s="8"/>
      <c r="K18" s="8" t="s">
        <v>67</v>
      </c>
    </row>
    <row r="19" customFormat="false" ht="17.15" hidden="false" customHeight="false" outlineLevel="0" collapsed="false">
      <c r="A19" s="8" t="s">
        <v>60</v>
      </c>
      <c r="B19" s="8" t="s">
        <v>68</v>
      </c>
      <c r="C19" s="8"/>
      <c r="D19" s="10"/>
      <c r="E19" s="10"/>
      <c r="F19" s="8" t="n">
        <v>1715</v>
      </c>
      <c r="G19" s="8" t="n">
        <v>2024</v>
      </c>
      <c r="H19" s="10"/>
      <c r="I19" s="8" t="s">
        <v>32</v>
      </c>
      <c r="J19" s="8"/>
      <c r="K19" s="8" t="s">
        <v>69</v>
      </c>
    </row>
    <row r="20" customFormat="false" ht="17.15" hidden="false" customHeight="false" outlineLevel="0" collapsed="false">
      <c r="A20" s="8" t="s">
        <v>60</v>
      </c>
      <c r="B20" s="8" t="s">
        <v>70</v>
      </c>
      <c r="C20" s="8"/>
      <c r="D20" s="10"/>
      <c r="E20" s="10"/>
      <c r="F20" s="8" t="n">
        <v>1670</v>
      </c>
      <c r="G20" s="8" t="n">
        <v>2024</v>
      </c>
      <c r="H20" s="10"/>
      <c r="I20" s="8" t="s">
        <v>32</v>
      </c>
      <c r="J20" s="8"/>
      <c r="K20" s="8" t="s">
        <v>71</v>
      </c>
    </row>
    <row r="21" customFormat="false" ht="17.15" hidden="false" customHeight="false" outlineLevel="0" collapsed="false">
      <c r="A21" s="8" t="s">
        <v>72</v>
      </c>
      <c r="B21" s="9" t="s">
        <v>73</v>
      </c>
      <c r="C21" s="8"/>
      <c r="D21" s="10"/>
      <c r="E21" s="10"/>
      <c r="F21" s="8" t="n">
        <v>18468</v>
      </c>
      <c r="G21" s="8" t="n">
        <v>2026</v>
      </c>
      <c r="H21" s="10" t="n">
        <v>48440000</v>
      </c>
      <c r="I21" s="8" t="s">
        <v>45</v>
      </c>
      <c r="J21" s="8"/>
      <c r="K21" s="8" t="s">
        <v>74</v>
      </c>
    </row>
    <row r="22" customFormat="false" ht="17.15" hidden="false" customHeight="false" outlineLevel="0" collapsed="false">
      <c r="A22" s="8" t="s">
        <v>72</v>
      </c>
      <c r="B22" s="9" t="s">
        <v>75</v>
      </c>
      <c r="C22" s="8"/>
      <c r="D22" s="10"/>
      <c r="E22" s="10"/>
      <c r="F22" s="8" t="n">
        <v>18005</v>
      </c>
      <c r="G22" s="8" t="n">
        <v>2025</v>
      </c>
      <c r="H22" s="10" t="n">
        <v>45400000</v>
      </c>
      <c r="I22" s="8" t="s">
        <v>45</v>
      </c>
      <c r="J22" s="8"/>
      <c r="K22" s="8" t="s">
        <v>76</v>
      </c>
    </row>
    <row r="23" customFormat="false" ht="17.15" hidden="false" customHeight="false" outlineLevel="0" collapsed="false">
      <c r="A23" s="8" t="s">
        <v>72</v>
      </c>
      <c r="B23" s="8" t="s">
        <v>77</v>
      </c>
      <c r="C23" s="8" t="n">
        <v>2024</v>
      </c>
      <c r="D23" s="10" t="n">
        <v>42600000</v>
      </c>
      <c r="E23" s="10" t="n">
        <v>511200000</v>
      </c>
      <c r="F23" s="8" t="n">
        <v>7568</v>
      </c>
      <c r="G23" s="8" t="n">
        <v>2026</v>
      </c>
      <c r="H23" s="10" t="n">
        <v>148020000</v>
      </c>
      <c r="I23" s="8" t="s">
        <v>45</v>
      </c>
      <c r="J23" s="8" t="s">
        <v>58</v>
      </c>
      <c r="K23" s="8" t="s">
        <v>78</v>
      </c>
    </row>
    <row r="24" customFormat="false" ht="17.15" hidden="false" customHeight="false" outlineLevel="0" collapsed="false">
      <c r="A24" s="8" t="s">
        <v>72</v>
      </c>
      <c r="B24" s="8" t="s">
        <v>79</v>
      </c>
      <c r="C24" s="8" t="n">
        <v>2024</v>
      </c>
      <c r="D24" s="10" t="n">
        <v>37620000</v>
      </c>
      <c r="E24" s="10" t="n">
        <v>451440000</v>
      </c>
      <c r="F24" s="8" t="n">
        <v>5595</v>
      </c>
      <c r="G24" s="8" t="n">
        <v>2026</v>
      </c>
      <c r="H24" s="10" t="n">
        <v>148400000</v>
      </c>
      <c r="I24" s="8" t="s">
        <v>45</v>
      </c>
      <c r="J24" s="8" t="s">
        <v>58</v>
      </c>
      <c r="K24" s="8" t="s">
        <v>80</v>
      </c>
    </row>
  </sheetData>
  <autoFilter ref="A1:K2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7" min="6" style="0" width="22"/>
    <col collapsed="false" customWidth="true" hidden="false" outlineLevel="0" max="8" min="8" style="0" width="45"/>
  </cols>
  <sheetData>
    <row r="1" customFormat="false" ht="19.7" hidden="false" customHeight="false" outlineLevel="0" collapsed="false">
      <c r="A1" s="5" t="s">
        <v>81</v>
      </c>
      <c r="B1" s="5"/>
      <c r="C1" s="5"/>
      <c r="D1" s="5"/>
      <c r="E1" s="5"/>
      <c r="F1" s="5"/>
      <c r="G1" s="5"/>
      <c r="H1" s="5"/>
    </row>
    <row r="2" customFormat="false" ht="17.15" hidden="false" customHeight="false" outlineLevel="0" collapsed="false">
      <c r="A2" s="6" t="s">
        <v>18</v>
      </c>
      <c r="B2" s="6"/>
      <c r="C2" s="6"/>
      <c r="D2" s="6"/>
      <c r="E2" s="6"/>
      <c r="F2" s="6"/>
      <c r="G2" s="6"/>
      <c r="H2" s="6"/>
    </row>
    <row r="4" customFormat="false" ht="17.15" hidden="false" customHeight="false" outlineLevel="0" collapsed="false">
      <c r="A4" s="7" t="s">
        <v>19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  <c r="G4" s="7" t="s">
        <v>87</v>
      </c>
      <c r="H4" s="7" t="s">
        <v>88</v>
      </c>
    </row>
    <row r="5" customFormat="false" ht="17.15" hidden="false" customHeight="false" outlineLevel="0" collapsed="false">
      <c r="A5" s="8" t="s">
        <v>30</v>
      </c>
      <c r="B5" s="8" t="n">
        <f aca="false">COUNTIFS(브랜드_매출비교!$A$5:$A$24,A5,브랜드_매출비교!$D$5:$D$24,"&gt;0")</f>
        <v>5</v>
      </c>
      <c r="C5" s="8" t="n">
        <f aca="false">COUNTIFS(브랜드_매출비교!$A$5:$A$24,A5,브랜드_매출비교!$D$5:$D$24,"=")</f>
        <v>0</v>
      </c>
      <c r="D5" s="10" t="n">
        <f aca="false">IFERROR(AVERAGEIF(브랜드_매출비교!$A$5:$A$24,A5,브랜드_매출비교!$D$5:$D$24),"")</f>
        <v>32058000</v>
      </c>
      <c r="E5" s="10" t="n">
        <f aca="false">IF(D5="","",D5*12)</f>
        <v>384696000</v>
      </c>
      <c r="F5" s="8" t="str">
        <f aca="false">IFERROR(INDEX(브랜드_매출비교!$B$5:$B$24,MATCH(1,(브랜드_매출비교!$A$5:$A$24=A5)*(브랜드_매출비교!$D$5:$D$24=maxifs(브랜드_매출비교!$D$5:$D$24,브랜드_매출비교!$A$5:$A$24,A5)),0)),"")</f>
        <v/>
      </c>
      <c r="G5" s="8" t="str">
        <f aca="false">IFERROR(INDEX(브랜드_매출비교!$B$5:$B$24,MATCH(1,(브랜드_매출비교!$A$5:$A$24=A5)*(브랜드_매출비교!$D$5:$D$24=minifs(브랜드_매출비교!$D$5:$D$24,브랜드_매출비교!$A$5:$A$24,A5)),0)),"")</f>
        <v/>
      </c>
      <c r="H5" s="8" t="s">
        <v>89</v>
      </c>
    </row>
    <row r="6" customFormat="false" ht="17.15" hidden="false" customHeight="false" outlineLevel="0" collapsed="false">
      <c r="A6" s="8" t="s">
        <v>43</v>
      </c>
      <c r="B6" s="8" t="n">
        <f aca="false">COUNTIFS(브랜드_매출비교!$A$5:$A$24,A6,브랜드_매출비교!$D$5:$D$24,"&gt;0")</f>
        <v>5</v>
      </c>
      <c r="C6" s="8" t="n">
        <f aca="false">COUNTIFS(브랜드_매출비교!$A$5:$A$24,A6,브랜드_매출비교!$D$5:$D$24,"=")</f>
        <v>0</v>
      </c>
      <c r="D6" s="10" t="n">
        <f aca="false">IFERROR(AVERAGEIF(브랜드_매출비교!$A$5:$A$24,A6,브랜드_매출비교!$D$5:$D$24),"")</f>
        <v>46246000</v>
      </c>
      <c r="E6" s="10" t="n">
        <f aca="false">IF(D6="","",D6*12)</f>
        <v>554952000</v>
      </c>
      <c r="F6" s="8" t="str">
        <f aca="false">IFERROR(INDEX(브랜드_매출비교!$B$5:$B$24,MATCH(1,(브랜드_매출비교!$A$5:$A$24=A6)*(브랜드_매출비교!$D$5:$D$24=maxifs(브랜드_매출비교!$D$5:$D$24,브랜드_매출비교!$A$5:$A$24,A6)),0)),"")</f>
        <v/>
      </c>
      <c r="G6" s="8" t="str">
        <f aca="false">IFERROR(INDEX(브랜드_매출비교!$B$5:$B$24,MATCH(1,(브랜드_매출비교!$A$5:$A$24=A6)*(브랜드_매출비교!$D$5:$D$24=minifs(브랜드_매출비교!$D$5:$D$24,브랜드_매출비교!$A$5:$A$24,A6)),0)),"")</f>
        <v/>
      </c>
      <c r="H6" s="8" t="s">
        <v>89</v>
      </c>
    </row>
    <row r="7" customFormat="false" ht="17.15" hidden="false" customHeight="false" outlineLevel="0" collapsed="false">
      <c r="A7" s="8" t="s">
        <v>60</v>
      </c>
      <c r="B7" s="8" t="n">
        <f aca="false">COUNTIFS(브랜드_매출비교!$A$5:$A$24,A7,브랜드_매출비교!$D$5:$D$24,"&gt;0")</f>
        <v>0</v>
      </c>
      <c r="C7" s="8" t="n">
        <f aca="false">COUNTIFS(브랜드_매출비교!$A$5:$A$24,A7,브랜드_매출비교!$D$5:$D$24,"=")</f>
        <v>6</v>
      </c>
      <c r="D7" s="10" t="str">
        <f aca="false">IFERROR(AVERAGEIF(브랜드_매출비교!$A$5:$A$24,A7,브랜드_매출비교!$D$5:$D$24),"")</f>
        <v/>
      </c>
      <c r="E7" s="10" t="str">
        <f aca="false">IF(D7="","",D7*12)</f>
        <v/>
      </c>
      <c r="F7" s="8" t="str">
        <f aca="false">IFERROR(INDEX(브랜드_매출비교!$B$5:$B$24,MATCH(1,(브랜드_매출비교!$A$5:$A$24=A7)*(브랜드_매출비교!$D$5:$D$24=maxifs(브랜드_매출비교!$D$5:$D$24,브랜드_매출비교!$A$5:$A$24,A7)),0)),"")</f>
        <v/>
      </c>
      <c r="G7" s="8" t="str">
        <f aca="false">IFERROR(INDEX(브랜드_매출비교!$B$5:$B$24,MATCH(1,(브랜드_매출비교!$A$5:$A$24=A7)*(브랜드_매출비교!$D$5:$D$24=minifs(브랜드_매출비교!$D$5:$D$24,브랜드_매출비교!$A$5:$A$24,A7)),0)),"")</f>
        <v/>
      </c>
      <c r="H7" s="8" t="s">
        <v>89</v>
      </c>
    </row>
    <row r="8" customFormat="false" ht="17.15" hidden="false" customHeight="false" outlineLevel="0" collapsed="false">
      <c r="A8" s="8" t="s">
        <v>72</v>
      </c>
      <c r="B8" s="8" t="n">
        <f aca="false">COUNTIFS(브랜드_매출비교!$A$5:$A$24,A8,브랜드_매출비교!$D$5:$D$24,"&gt;0")</f>
        <v>2</v>
      </c>
      <c r="C8" s="8" t="n">
        <f aca="false">COUNTIFS(브랜드_매출비교!$A$5:$A$24,A8,브랜드_매출비교!$D$5:$D$24,"=")</f>
        <v>2</v>
      </c>
      <c r="D8" s="10" t="n">
        <f aca="false">IFERROR(AVERAGEIF(브랜드_매출비교!$A$5:$A$24,A8,브랜드_매출비교!$D$5:$D$24),"")</f>
        <v>40110000</v>
      </c>
      <c r="E8" s="10" t="n">
        <f aca="false">IF(D8="","",D8*12)</f>
        <v>481320000</v>
      </c>
      <c r="F8" s="8" t="str">
        <f aca="false">IFERROR(INDEX(브랜드_매출비교!$B$5:$B$24,MATCH(1,(브랜드_매출비교!$A$5:$A$24=A8)*(브랜드_매출비교!$D$5:$D$24=maxifs(브랜드_매출비교!$D$5:$D$24,브랜드_매출비교!$A$5:$A$24,A8)),0)),"")</f>
        <v/>
      </c>
      <c r="G8" s="8" t="str">
        <f aca="false">IFERROR(INDEX(브랜드_매출비교!$B$5:$B$24,MATCH(1,(브랜드_매출비교!$A$5:$A$24=A8)*(브랜드_매출비교!$D$5:$D$24=minifs(브랜드_매출비교!$D$5:$D$24,브랜드_매출비교!$A$5:$A$24,A8)),0)),"")</f>
        <v/>
      </c>
      <c r="H8" s="8" t="s">
        <v>89</v>
      </c>
    </row>
  </sheetData>
  <autoFilter ref="A1:H8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8" min="8" style="0" width="46"/>
  </cols>
  <sheetData>
    <row r="1" customFormat="false" ht="23.85" hidden="false" customHeight="false" outlineLevel="0" collapsed="false">
      <c r="A1" s="5" t="s">
        <v>90</v>
      </c>
      <c r="B1" s="5"/>
      <c r="C1" s="5"/>
      <c r="D1" s="5"/>
      <c r="E1" s="5"/>
      <c r="F1" s="5"/>
      <c r="G1" s="5"/>
      <c r="H1" s="5"/>
    </row>
    <row r="2" customFormat="false" ht="17.15" hidden="false" customHeight="false" outlineLevel="0" collapsed="false">
      <c r="A2" s="6" t="s">
        <v>18</v>
      </c>
      <c r="B2" s="6"/>
      <c r="C2" s="6"/>
      <c r="D2" s="6"/>
      <c r="E2" s="6"/>
      <c r="F2" s="6"/>
      <c r="G2" s="6"/>
      <c r="H2" s="6"/>
    </row>
    <row r="4" customFormat="false" ht="17.15" hidden="false" customHeight="false" outlineLevel="0" collapsed="false">
      <c r="A4" s="7" t="s">
        <v>19</v>
      </c>
      <c r="B4" s="7" t="s">
        <v>20</v>
      </c>
      <c r="C4" s="7" t="s">
        <v>91</v>
      </c>
      <c r="D4" s="7" t="s">
        <v>92</v>
      </c>
      <c r="E4" s="7" t="s">
        <v>93</v>
      </c>
      <c r="F4" s="7" t="s">
        <v>94</v>
      </c>
      <c r="G4" s="7" t="s">
        <v>95</v>
      </c>
      <c r="H4" s="7" t="s">
        <v>29</v>
      </c>
    </row>
    <row r="5" customFormat="false" ht="17.15" hidden="false" customHeight="false" outlineLevel="0" collapsed="false">
      <c r="A5" s="8" t="s">
        <v>30</v>
      </c>
      <c r="B5" s="9" t="s">
        <v>31</v>
      </c>
      <c r="C5" s="8" t="s">
        <v>96</v>
      </c>
      <c r="D5" s="8" t="s">
        <v>96</v>
      </c>
      <c r="E5" s="8" t="n">
        <v>2024</v>
      </c>
      <c r="F5" s="10" t="n">
        <v>130</v>
      </c>
      <c r="G5" s="8" t="s">
        <v>97</v>
      </c>
      <c r="H5" s="8" t="s">
        <v>98</v>
      </c>
    </row>
    <row r="6" customFormat="false" ht="17.15" hidden="false" customHeight="false" outlineLevel="0" collapsed="false">
      <c r="A6" s="8" t="s">
        <v>30</v>
      </c>
      <c r="B6" s="9" t="s">
        <v>31</v>
      </c>
      <c r="C6" s="8" t="s">
        <v>99</v>
      </c>
      <c r="D6" s="8" t="s">
        <v>99</v>
      </c>
      <c r="E6" s="8" t="n">
        <v>2024</v>
      </c>
      <c r="F6" s="10" t="n">
        <v>110</v>
      </c>
      <c r="G6" s="8" t="s">
        <v>97</v>
      </c>
      <c r="H6" s="8" t="s">
        <v>98</v>
      </c>
    </row>
    <row r="7" customFormat="false" ht="17.15" hidden="false" customHeight="false" outlineLevel="0" collapsed="false">
      <c r="A7" s="8" t="s">
        <v>30</v>
      </c>
      <c r="B7" s="9" t="s">
        <v>31</v>
      </c>
      <c r="C7" s="8" t="s">
        <v>96</v>
      </c>
      <c r="D7" s="8" t="s">
        <v>96</v>
      </c>
      <c r="E7" s="8" t="n">
        <v>2025</v>
      </c>
      <c r="F7" s="10" t="n">
        <v>139</v>
      </c>
      <c r="G7" s="8" t="s">
        <v>97</v>
      </c>
      <c r="H7" s="8" t="s">
        <v>98</v>
      </c>
    </row>
    <row r="8" customFormat="false" ht="17.15" hidden="false" customHeight="false" outlineLevel="0" collapsed="false">
      <c r="A8" s="8" t="s">
        <v>30</v>
      </c>
      <c r="B8" s="9" t="s">
        <v>31</v>
      </c>
      <c r="C8" s="8" t="s">
        <v>99</v>
      </c>
      <c r="D8" s="8" t="s">
        <v>99</v>
      </c>
      <c r="E8" s="8" t="n">
        <v>2025</v>
      </c>
      <c r="F8" s="10" t="n">
        <v>126</v>
      </c>
      <c r="G8" s="8" t="s">
        <v>97</v>
      </c>
      <c r="H8" s="8" t="s">
        <v>98</v>
      </c>
    </row>
    <row r="9" customFormat="false" ht="17.15" hidden="false" customHeight="false" outlineLevel="0" collapsed="false">
      <c r="A9" s="8" t="s">
        <v>30</v>
      </c>
      <c r="B9" s="9" t="s">
        <v>35</v>
      </c>
      <c r="C9" s="8" t="s">
        <v>96</v>
      </c>
      <c r="D9" s="8" t="s">
        <v>96</v>
      </c>
      <c r="E9" s="8" t="n">
        <v>2024</v>
      </c>
      <c r="F9" s="10" t="n">
        <v>116</v>
      </c>
      <c r="G9" s="8" t="s">
        <v>97</v>
      </c>
      <c r="H9" s="8" t="s">
        <v>100</v>
      </c>
    </row>
    <row r="10" customFormat="false" ht="17.15" hidden="false" customHeight="false" outlineLevel="0" collapsed="false">
      <c r="A10" s="8" t="s">
        <v>30</v>
      </c>
      <c r="B10" s="9" t="s">
        <v>35</v>
      </c>
      <c r="C10" s="8" t="s">
        <v>99</v>
      </c>
      <c r="D10" s="8" t="s">
        <v>99</v>
      </c>
      <c r="E10" s="8" t="n">
        <v>2024</v>
      </c>
      <c r="F10" s="10" t="n">
        <v>99</v>
      </c>
      <c r="G10" s="8" t="s">
        <v>97</v>
      </c>
      <c r="H10" s="8" t="s">
        <v>100</v>
      </c>
    </row>
    <row r="11" customFormat="false" ht="17.15" hidden="false" customHeight="false" outlineLevel="0" collapsed="false">
      <c r="A11" s="8" t="s">
        <v>30</v>
      </c>
      <c r="B11" s="9" t="s">
        <v>35</v>
      </c>
      <c r="C11" s="8" t="s">
        <v>96</v>
      </c>
      <c r="D11" s="8" t="s">
        <v>96</v>
      </c>
      <c r="E11" s="8" t="n">
        <v>2025</v>
      </c>
      <c r="F11" s="10" t="n">
        <v>116</v>
      </c>
      <c r="G11" s="8" t="s">
        <v>97</v>
      </c>
      <c r="H11" s="8" t="s">
        <v>100</v>
      </c>
    </row>
    <row r="12" customFormat="false" ht="17.15" hidden="false" customHeight="false" outlineLevel="0" collapsed="false">
      <c r="A12" s="8" t="s">
        <v>30</v>
      </c>
      <c r="B12" s="9" t="s">
        <v>35</v>
      </c>
      <c r="C12" s="8" t="s">
        <v>99</v>
      </c>
      <c r="D12" s="8" t="s">
        <v>99</v>
      </c>
      <c r="E12" s="8" t="n">
        <v>2025</v>
      </c>
      <c r="F12" s="10" t="n">
        <v>101</v>
      </c>
      <c r="G12" s="8" t="s">
        <v>97</v>
      </c>
      <c r="H12" s="8" t="s">
        <v>100</v>
      </c>
    </row>
    <row r="13" customFormat="false" ht="17.15" hidden="false" customHeight="false" outlineLevel="0" collapsed="false">
      <c r="A13" s="8" t="s">
        <v>30</v>
      </c>
      <c r="B13" s="9" t="s">
        <v>37</v>
      </c>
      <c r="C13" s="8" t="s">
        <v>96</v>
      </c>
      <c r="D13" s="8" t="s">
        <v>96</v>
      </c>
      <c r="E13" s="8" t="n">
        <v>2024</v>
      </c>
      <c r="F13" s="10" t="n">
        <v>43</v>
      </c>
      <c r="G13" s="8" t="s">
        <v>97</v>
      </c>
      <c r="H13" s="8" t="s">
        <v>101</v>
      </c>
    </row>
    <row r="14" customFormat="false" ht="17.15" hidden="false" customHeight="false" outlineLevel="0" collapsed="false">
      <c r="A14" s="8" t="s">
        <v>30</v>
      </c>
      <c r="B14" s="9" t="s">
        <v>37</v>
      </c>
      <c r="C14" s="8" t="s">
        <v>99</v>
      </c>
      <c r="D14" s="8" t="s">
        <v>99</v>
      </c>
      <c r="E14" s="8" t="n">
        <v>2024</v>
      </c>
      <c r="F14" s="10" t="n">
        <v>65</v>
      </c>
      <c r="G14" s="8" t="s">
        <v>97</v>
      </c>
      <c r="H14" s="8" t="s">
        <v>101</v>
      </c>
    </row>
    <row r="15" customFormat="false" ht="17.15" hidden="false" customHeight="false" outlineLevel="0" collapsed="false">
      <c r="A15" s="8" t="s">
        <v>30</v>
      </c>
      <c r="B15" s="9" t="s">
        <v>39</v>
      </c>
      <c r="C15" s="8" t="s">
        <v>96</v>
      </c>
      <c r="D15" s="8" t="s">
        <v>96</v>
      </c>
      <c r="E15" s="8" t="n">
        <v>2024</v>
      </c>
      <c r="F15" s="10" t="n">
        <v>65</v>
      </c>
      <c r="G15" s="8" t="s">
        <v>97</v>
      </c>
      <c r="H15" s="8" t="s">
        <v>102</v>
      </c>
    </row>
    <row r="16" customFormat="false" ht="17.15" hidden="false" customHeight="false" outlineLevel="0" collapsed="false">
      <c r="A16" s="8" t="s">
        <v>30</v>
      </c>
      <c r="B16" s="9" t="s">
        <v>39</v>
      </c>
      <c r="C16" s="8" t="s">
        <v>99</v>
      </c>
      <c r="D16" s="8" t="s">
        <v>99</v>
      </c>
      <c r="E16" s="8" t="n">
        <v>2024</v>
      </c>
      <c r="F16" s="10" t="n">
        <v>61</v>
      </c>
      <c r="G16" s="8" t="s">
        <v>97</v>
      </c>
      <c r="H16" s="8" t="s">
        <v>102</v>
      </c>
    </row>
    <row r="17" customFormat="false" ht="17.15" hidden="false" customHeight="false" outlineLevel="0" collapsed="false">
      <c r="A17" s="8" t="s">
        <v>30</v>
      </c>
      <c r="B17" s="9" t="s">
        <v>41</v>
      </c>
      <c r="C17" s="8" t="s">
        <v>96</v>
      </c>
      <c r="D17" s="8" t="s">
        <v>96</v>
      </c>
      <c r="E17" s="8" t="n">
        <v>2025</v>
      </c>
      <c r="F17" s="10" t="n">
        <v>36</v>
      </c>
      <c r="G17" s="8" t="s">
        <v>97</v>
      </c>
      <c r="H17" s="8" t="s">
        <v>103</v>
      </c>
    </row>
    <row r="18" customFormat="false" ht="17.15" hidden="false" customHeight="false" outlineLevel="0" collapsed="false">
      <c r="A18" s="8" t="s">
        <v>30</v>
      </c>
      <c r="B18" s="9" t="s">
        <v>41</v>
      </c>
      <c r="C18" s="8" t="s">
        <v>99</v>
      </c>
      <c r="D18" s="8" t="s">
        <v>99</v>
      </c>
      <c r="E18" s="8" t="n">
        <v>2025</v>
      </c>
      <c r="F18" s="10" t="n">
        <v>8</v>
      </c>
      <c r="G18" s="8" t="s">
        <v>97</v>
      </c>
      <c r="H18" s="8" t="s">
        <v>103</v>
      </c>
    </row>
    <row r="19" customFormat="false" ht="17.15" hidden="false" customHeight="false" outlineLevel="0" collapsed="false">
      <c r="A19" s="8" t="s">
        <v>43</v>
      </c>
      <c r="B19" s="9" t="s">
        <v>44</v>
      </c>
      <c r="C19" s="8" t="s">
        <v>96</v>
      </c>
      <c r="D19" s="8" t="s">
        <v>104</v>
      </c>
      <c r="E19" s="8"/>
      <c r="F19" s="10" t="n">
        <v>17</v>
      </c>
      <c r="G19" s="8" t="s">
        <v>105</v>
      </c>
      <c r="H19" s="8" t="s">
        <v>106</v>
      </c>
    </row>
    <row r="20" customFormat="false" ht="17.15" hidden="false" customHeight="false" outlineLevel="0" collapsed="false">
      <c r="A20" s="8" t="s">
        <v>43</v>
      </c>
      <c r="B20" s="9" t="s">
        <v>44</v>
      </c>
      <c r="C20" s="8" t="s">
        <v>96</v>
      </c>
      <c r="D20" s="8" t="s">
        <v>107</v>
      </c>
      <c r="E20" s="8"/>
      <c r="F20" s="10" t="n">
        <v>12</v>
      </c>
      <c r="G20" s="8" t="s">
        <v>105</v>
      </c>
      <c r="H20" s="8" t="s">
        <v>106</v>
      </c>
    </row>
    <row r="21" customFormat="false" ht="17.15" hidden="false" customHeight="false" outlineLevel="0" collapsed="false">
      <c r="A21" s="8" t="s">
        <v>43</v>
      </c>
      <c r="B21" s="9" t="s">
        <v>44</v>
      </c>
      <c r="C21" s="8" t="s">
        <v>96</v>
      </c>
      <c r="D21" s="8" t="s">
        <v>108</v>
      </c>
      <c r="E21" s="8"/>
      <c r="F21" s="10" t="n">
        <v>9</v>
      </c>
      <c r="G21" s="8" t="s">
        <v>105</v>
      </c>
      <c r="H21" s="8" t="s">
        <v>106</v>
      </c>
    </row>
    <row r="22" customFormat="false" ht="17.15" hidden="false" customHeight="false" outlineLevel="0" collapsed="false">
      <c r="A22" s="8" t="s">
        <v>43</v>
      </c>
      <c r="B22" s="9" t="s">
        <v>44</v>
      </c>
      <c r="C22" s="8" t="s">
        <v>96</v>
      </c>
      <c r="D22" s="8" t="s">
        <v>109</v>
      </c>
      <c r="E22" s="8"/>
      <c r="F22" s="10" t="n">
        <v>14</v>
      </c>
      <c r="G22" s="8" t="s">
        <v>105</v>
      </c>
      <c r="H22" s="8" t="s">
        <v>106</v>
      </c>
    </row>
    <row r="23" customFormat="false" ht="17.15" hidden="false" customHeight="false" outlineLevel="0" collapsed="false">
      <c r="A23" s="8" t="s">
        <v>43</v>
      </c>
      <c r="B23" s="9" t="s">
        <v>44</v>
      </c>
      <c r="C23" s="8" t="s">
        <v>96</v>
      </c>
      <c r="D23" s="8" t="s">
        <v>110</v>
      </c>
      <c r="E23" s="8"/>
      <c r="F23" s="10" t="n">
        <v>14</v>
      </c>
      <c r="G23" s="8" t="s">
        <v>105</v>
      </c>
      <c r="H23" s="8" t="s">
        <v>106</v>
      </c>
    </row>
    <row r="24" customFormat="false" ht="17.15" hidden="false" customHeight="false" outlineLevel="0" collapsed="false">
      <c r="A24" s="8" t="s">
        <v>43</v>
      </c>
      <c r="B24" s="9" t="s">
        <v>44</v>
      </c>
      <c r="C24" s="8" t="s">
        <v>96</v>
      </c>
      <c r="D24" s="8" t="s">
        <v>111</v>
      </c>
      <c r="E24" s="8"/>
      <c r="F24" s="10" t="n">
        <v>9</v>
      </c>
      <c r="G24" s="8" t="s">
        <v>105</v>
      </c>
      <c r="H24" s="8" t="s">
        <v>106</v>
      </c>
    </row>
    <row r="25" customFormat="false" ht="17.15" hidden="false" customHeight="false" outlineLevel="0" collapsed="false">
      <c r="A25" s="8" t="s">
        <v>43</v>
      </c>
      <c r="B25" s="9" t="s">
        <v>44</v>
      </c>
      <c r="C25" s="8" t="s">
        <v>96</v>
      </c>
      <c r="D25" s="8" t="s">
        <v>112</v>
      </c>
      <c r="E25" s="8"/>
      <c r="F25" s="10" t="n">
        <v>14</v>
      </c>
      <c r="G25" s="8" t="s">
        <v>105</v>
      </c>
      <c r="H25" s="8" t="s">
        <v>106</v>
      </c>
    </row>
    <row r="26" customFormat="false" ht="17.15" hidden="false" customHeight="false" outlineLevel="0" collapsed="false">
      <c r="A26" s="8" t="s">
        <v>43</v>
      </c>
      <c r="B26" s="9" t="s">
        <v>44</v>
      </c>
      <c r="C26" s="8" t="s">
        <v>96</v>
      </c>
      <c r="D26" s="8" t="s">
        <v>113</v>
      </c>
      <c r="E26" s="8"/>
      <c r="F26" s="10" t="n">
        <v>6</v>
      </c>
      <c r="G26" s="8" t="s">
        <v>105</v>
      </c>
      <c r="H26" s="8" t="s">
        <v>106</v>
      </c>
    </row>
    <row r="27" customFormat="false" ht="17.15" hidden="false" customHeight="false" outlineLevel="0" collapsed="false">
      <c r="A27" s="8" t="s">
        <v>43</v>
      </c>
      <c r="B27" s="9" t="s">
        <v>44</v>
      </c>
      <c r="C27" s="8" t="s">
        <v>96</v>
      </c>
      <c r="D27" s="8" t="s">
        <v>114</v>
      </c>
      <c r="E27" s="8"/>
      <c r="F27" s="10" t="n">
        <v>12</v>
      </c>
      <c r="G27" s="8" t="s">
        <v>105</v>
      </c>
      <c r="H27" s="8" t="s">
        <v>106</v>
      </c>
    </row>
    <row r="28" customFormat="false" ht="17.15" hidden="false" customHeight="false" outlineLevel="0" collapsed="false">
      <c r="A28" s="8" t="s">
        <v>43</v>
      </c>
      <c r="B28" s="9" t="s">
        <v>44</v>
      </c>
      <c r="C28" s="8" t="s">
        <v>96</v>
      </c>
      <c r="D28" s="8" t="s">
        <v>115</v>
      </c>
      <c r="E28" s="8"/>
      <c r="F28" s="10" t="n">
        <v>7</v>
      </c>
      <c r="G28" s="8" t="s">
        <v>105</v>
      </c>
      <c r="H28" s="8" t="s">
        <v>106</v>
      </c>
    </row>
    <row r="29" customFormat="false" ht="17.15" hidden="false" customHeight="false" outlineLevel="0" collapsed="false">
      <c r="A29" s="8" t="s">
        <v>43</v>
      </c>
      <c r="B29" s="9" t="s">
        <v>44</v>
      </c>
      <c r="C29" s="8" t="s">
        <v>96</v>
      </c>
      <c r="D29" s="8" t="s">
        <v>116</v>
      </c>
      <c r="E29" s="8"/>
      <c r="F29" s="10" t="n">
        <v>10</v>
      </c>
      <c r="G29" s="8" t="s">
        <v>105</v>
      </c>
      <c r="H29" s="8" t="s">
        <v>106</v>
      </c>
    </row>
    <row r="30" customFormat="false" ht="17.15" hidden="false" customHeight="false" outlineLevel="0" collapsed="false">
      <c r="A30" s="8" t="s">
        <v>43</v>
      </c>
      <c r="B30" s="9" t="s">
        <v>44</v>
      </c>
      <c r="C30" s="8" t="s">
        <v>96</v>
      </c>
      <c r="D30" s="8" t="s">
        <v>117</v>
      </c>
      <c r="E30" s="8"/>
      <c r="F30" s="10" t="n">
        <v>11</v>
      </c>
      <c r="G30" s="8" t="s">
        <v>105</v>
      </c>
      <c r="H30" s="8" t="s">
        <v>106</v>
      </c>
    </row>
    <row r="31" customFormat="false" ht="17.15" hidden="false" customHeight="false" outlineLevel="0" collapsed="false">
      <c r="A31" s="8" t="s">
        <v>43</v>
      </c>
      <c r="B31" s="9" t="s">
        <v>44</v>
      </c>
      <c r="C31" s="8" t="s">
        <v>96</v>
      </c>
      <c r="D31" s="8" t="s">
        <v>118</v>
      </c>
      <c r="E31" s="8"/>
      <c r="F31" s="10" t="n">
        <v>12</v>
      </c>
      <c r="G31" s="8" t="s">
        <v>105</v>
      </c>
      <c r="H31" s="8" t="s">
        <v>106</v>
      </c>
    </row>
    <row r="32" customFormat="false" ht="17.15" hidden="false" customHeight="false" outlineLevel="0" collapsed="false">
      <c r="A32" s="8" t="s">
        <v>43</v>
      </c>
      <c r="B32" s="9" t="s">
        <v>44</v>
      </c>
      <c r="C32" s="8" t="s">
        <v>96</v>
      </c>
      <c r="D32" s="8" t="s">
        <v>119</v>
      </c>
      <c r="E32" s="8"/>
      <c r="F32" s="10" t="n">
        <v>9</v>
      </c>
      <c r="G32" s="8" t="s">
        <v>105</v>
      </c>
      <c r="H32" s="8" t="s">
        <v>106</v>
      </c>
    </row>
    <row r="33" customFormat="false" ht="17.15" hidden="false" customHeight="false" outlineLevel="0" collapsed="false">
      <c r="A33" s="8" t="s">
        <v>43</v>
      </c>
      <c r="B33" s="9" t="s">
        <v>44</v>
      </c>
      <c r="C33" s="8" t="s">
        <v>96</v>
      </c>
      <c r="D33" s="8" t="s">
        <v>120</v>
      </c>
      <c r="E33" s="8"/>
      <c r="F33" s="10" t="n">
        <v>9</v>
      </c>
      <c r="G33" s="8" t="s">
        <v>105</v>
      </c>
      <c r="H33" s="8" t="s">
        <v>106</v>
      </c>
    </row>
    <row r="34" customFormat="false" ht="17.15" hidden="false" customHeight="false" outlineLevel="0" collapsed="false">
      <c r="A34" s="8" t="s">
        <v>43</v>
      </c>
      <c r="B34" s="9" t="s">
        <v>44</v>
      </c>
      <c r="C34" s="8" t="s">
        <v>96</v>
      </c>
      <c r="D34" s="8" t="s">
        <v>121</v>
      </c>
      <c r="E34" s="8"/>
      <c r="F34" s="10" t="n">
        <v>6</v>
      </c>
      <c r="G34" s="8" t="s">
        <v>105</v>
      </c>
      <c r="H34" s="8" t="s">
        <v>106</v>
      </c>
    </row>
    <row r="35" customFormat="false" ht="17.15" hidden="false" customHeight="false" outlineLevel="0" collapsed="false">
      <c r="A35" s="8" t="s">
        <v>43</v>
      </c>
      <c r="B35" s="9" t="s">
        <v>44</v>
      </c>
      <c r="C35" s="8" t="s">
        <v>96</v>
      </c>
      <c r="D35" s="8" t="s">
        <v>122</v>
      </c>
      <c r="E35" s="8"/>
      <c r="F35" s="10" t="n">
        <v>10</v>
      </c>
      <c r="G35" s="8" t="s">
        <v>105</v>
      </c>
      <c r="H35" s="8" t="s">
        <v>106</v>
      </c>
    </row>
    <row r="36" customFormat="false" ht="17.15" hidden="false" customHeight="false" outlineLevel="0" collapsed="false">
      <c r="A36" s="8" t="s">
        <v>43</v>
      </c>
      <c r="B36" s="9" t="s">
        <v>44</v>
      </c>
      <c r="C36" s="8" t="s">
        <v>96</v>
      </c>
      <c r="D36" s="8" t="s">
        <v>123</v>
      </c>
      <c r="E36" s="8"/>
      <c r="F36" s="10" t="n">
        <v>14</v>
      </c>
      <c r="G36" s="8" t="s">
        <v>105</v>
      </c>
      <c r="H36" s="8" t="s">
        <v>106</v>
      </c>
    </row>
    <row r="37" customFormat="false" ht="17.15" hidden="false" customHeight="false" outlineLevel="0" collapsed="false">
      <c r="A37" s="8" t="s">
        <v>43</v>
      </c>
      <c r="B37" s="9" t="s">
        <v>44</v>
      </c>
      <c r="C37" s="8" t="s">
        <v>96</v>
      </c>
      <c r="D37" s="8" t="s">
        <v>124</v>
      </c>
      <c r="E37" s="8"/>
      <c r="F37" s="10" t="n">
        <v>13</v>
      </c>
      <c r="G37" s="8" t="s">
        <v>105</v>
      </c>
      <c r="H37" s="8" t="s">
        <v>106</v>
      </c>
    </row>
    <row r="38" customFormat="false" ht="17.15" hidden="false" customHeight="false" outlineLevel="0" collapsed="false">
      <c r="A38" s="8" t="s">
        <v>43</v>
      </c>
      <c r="B38" s="9" t="s">
        <v>44</v>
      </c>
      <c r="C38" s="8" t="s">
        <v>96</v>
      </c>
      <c r="D38" s="8" t="s">
        <v>125</v>
      </c>
      <c r="E38" s="8"/>
      <c r="F38" s="10" t="n">
        <v>14</v>
      </c>
      <c r="G38" s="8" t="s">
        <v>105</v>
      </c>
      <c r="H38" s="8" t="s">
        <v>106</v>
      </c>
    </row>
    <row r="39" customFormat="false" ht="17.15" hidden="false" customHeight="false" outlineLevel="0" collapsed="false">
      <c r="A39" s="8" t="s">
        <v>43</v>
      </c>
      <c r="B39" s="9" t="s">
        <v>44</v>
      </c>
      <c r="C39" s="8" t="s">
        <v>96</v>
      </c>
      <c r="D39" s="8" t="s">
        <v>126</v>
      </c>
      <c r="E39" s="8"/>
      <c r="F39" s="10" t="n">
        <v>3</v>
      </c>
      <c r="G39" s="8" t="s">
        <v>105</v>
      </c>
      <c r="H39" s="8" t="s">
        <v>106</v>
      </c>
    </row>
    <row r="40" customFormat="false" ht="17.15" hidden="false" customHeight="false" outlineLevel="0" collapsed="false">
      <c r="A40" s="8" t="s">
        <v>43</v>
      </c>
      <c r="B40" s="9" t="s">
        <v>44</v>
      </c>
      <c r="C40" s="8" t="s">
        <v>96</v>
      </c>
      <c r="D40" s="8" t="s">
        <v>127</v>
      </c>
      <c r="E40" s="8"/>
      <c r="F40" s="10" t="n">
        <v>13</v>
      </c>
      <c r="G40" s="8" t="s">
        <v>105</v>
      </c>
      <c r="H40" s="8" t="s">
        <v>106</v>
      </c>
    </row>
    <row r="41" customFormat="false" ht="17.15" hidden="false" customHeight="false" outlineLevel="0" collapsed="false">
      <c r="A41" s="8" t="s">
        <v>43</v>
      </c>
      <c r="B41" s="9" t="s">
        <v>44</v>
      </c>
      <c r="C41" s="8" t="s">
        <v>96</v>
      </c>
      <c r="D41" s="8" t="s">
        <v>128</v>
      </c>
      <c r="E41" s="8"/>
      <c r="F41" s="10" t="n">
        <v>4</v>
      </c>
      <c r="G41" s="8" t="s">
        <v>105</v>
      </c>
      <c r="H41" s="8" t="s">
        <v>106</v>
      </c>
    </row>
    <row r="42" customFormat="false" ht="17.15" hidden="false" customHeight="false" outlineLevel="0" collapsed="false">
      <c r="A42" s="8" t="s">
        <v>43</v>
      </c>
      <c r="B42" s="9" t="s">
        <v>44</v>
      </c>
      <c r="C42" s="8" t="s">
        <v>96</v>
      </c>
      <c r="D42" s="8" t="s">
        <v>129</v>
      </c>
      <c r="E42" s="8"/>
      <c r="F42" s="10" t="n">
        <v>5</v>
      </c>
      <c r="G42" s="8" t="s">
        <v>105</v>
      </c>
      <c r="H42" s="8" t="s">
        <v>106</v>
      </c>
    </row>
    <row r="43" customFormat="false" ht="17.15" hidden="false" customHeight="false" outlineLevel="0" collapsed="false">
      <c r="A43" s="8" t="s">
        <v>43</v>
      </c>
      <c r="B43" s="9" t="s">
        <v>44</v>
      </c>
      <c r="C43" s="8" t="s">
        <v>96</v>
      </c>
      <c r="D43" s="8" t="s">
        <v>130</v>
      </c>
      <c r="E43" s="8"/>
      <c r="F43" s="10" t="n">
        <v>11</v>
      </c>
      <c r="G43" s="8" t="s">
        <v>105</v>
      </c>
      <c r="H43" s="8" t="s">
        <v>106</v>
      </c>
    </row>
    <row r="44" customFormat="false" ht="17.15" hidden="false" customHeight="false" outlineLevel="0" collapsed="false">
      <c r="A44" s="8" t="s">
        <v>43</v>
      </c>
      <c r="B44" s="9" t="s">
        <v>44</v>
      </c>
      <c r="C44" s="8" t="s">
        <v>96</v>
      </c>
      <c r="D44" s="8" t="s">
        <v>131</v>
      </c>
      <c r="E44" s="8"/>
      <c r="F44" s="10" t="n">
        <v>258</v>
      </c>
      <c r="G44" s="8" t="s">
        <v>105</v>
      </c>
      <c r="H44" s="8" t="s">
        <v>106</v>
      </c>
    </row>
    <row r="45" customFormat="false" ht="17.15" hidden="false" customHeight="false" outlineLevel="0" collapsed="false">
      <c r="A45" s="8" t="s">
        <v>43</v>
      </c>
      <c r="B45" s="8" t="s">
        <v>48</v>
      </c>
      <c r="C45" s="8" t="s">
        <v>96</v>
      </c>
      <c r="D45" s="8" t="s">
        <v>104</v>
      </c>
      <c r="E45" s="8"/>
      <c r="F45" s="10" t="n">
        <v>14</v>
      </c>
      <c r="G45" s="8" t="s">
        <v>105</v>
      </c>
      <c r="H45" s="8" t="s">
        <v>132</v>
      </c>
    </row>
    <row r="46" customFormat="false" ht="17.15" hidden="false" customHeight="false" outlineLevel="0" collapsed="false">
      <c r="A46" s="8" t="s">
        <v>43</v>
      </c>
      <c r="B46" s="8" t="s">
        <v>48</v>
      </c>
      <c r="C46" s="8" t="s">
        <v>96</v>
      </c>
      <c r="D46" s="8" t="s">
        <v>107</v>
      </c>
      <c r="E46" s="8"/>
      <c r="F46" s="10" t="n">
        <v>14</v>
      </c>
      <c r="G46" s="8" t="s">
        <v>105</v>
      </c>
      <c r="H46" s="8" t="s">
        <v>132</v>
      </c>
    </row>
    <row r="47" customFormat="false" ht="17.15" hidden="false" customHeight="false" outlineLevel="0" collapsed="false">
      <c r="A47" s="8" t="s">
        <v>43</v>
      </c>
      <c r="B47" s="8" t="s">
        <v>48</v>
      </c>
      <c r="C47" s="8" t="s">
        <v>96</v>
      </c>
      <c r="D47" s="8" t="s">
        <v>108</v>
      </c>
      <c r="E47" s="8"/>
      <c r="F47" s="10" t="n">
        <v>8</v>
      </c>
      <c r="G47" s="8" t="s">
        <v>105</v>
      </c>
      <c r="H47" s="8" t="s">
        <v>132</v>
      </c>
    </row>
    <row r="48" customFormat="false" ht="17.15" hidden="false" customHeight="false" outlineLevel="0" collapsed="false">
      <c r="A48" s="8" t="s">
        <v>43</v>
      </c>
      <c r="B48" s="8" t="s">
        <v>48</v>
      </c>
      <c r="C48" s="8" t="s">
        <v>96</v>
      </c>
      <c r="D48" s="8" t="s">
        <v>109</v>
      </c>
      <c r="E48" s="8"/>
      <c r="F48" s="10" t="n">
        <v>12</v>
      </c>
      <c r="G48" s="8" t="s">
        <v>105</v>
      </c>
      <c r="H48" s="8" t="s">
        <v>132</v>
      </c>
    </row>
    <row r="49" customFormat="false" ht="17.15" hidden="false" customHeight="false" outlineLevel="0" collapsed="false">
      <c r="A49" s="8" t="s">
        <v>43</v>
      </c>
      <c r="B49" s="8" t="s">
        <v>48</v>
      </c>
      <c r="C49" s="8" t="s">
        <v>96</v>
      </c>
      <c r="D49" s="8" t="s">
        <v>110</v>
      </c>
      <c r="E49" s="8"/>
      <c r="F49" s="10" t="n">
        <v>8</v>
      </c>
      <c r="G49" s="8" t="s">
        <v>105</v>
      </c>
      <c r="H49" s="8" t="s">
        <v>132</v>
      </c>
    </row>
    <row r="50" customFormat="false" ht="17.15" hidden="false" customHeight="false" outlineLevel="0" collapsed="false">
      <c r="A50" s="8" t="s">
        <v>43</v>
      </c>
      <c r="B50" s="8" t="s">
        <v>48</v>
      </c>
      <c r="C50" s="8" t="s">
        <v>96</v>
      </c>
      <c r="D50" s="8" t="s">
        <v>111</v>
      </c>
      <c r="E50" s="8"/>
      <c r="F50" s="10" t="n">
        <v>7</v>
      </c>
      <c r="G50" s="8" t="s">
        <v>105</v>
      </c>
      <c r="H50" s="8" t="s">
        <v>132</v>
      </c>
    </row>
    <row r="51" customFormat="false" ht="17.15" hidden="false" customHeight="false" outlineLevel="0" collapsed="false">
      <c r="A51" s="8" t="s">
        <v>43</v>
      </c>
      <c r="B51" s="8" t="s">
        <v>48</v>
      </c>
      <c r="C51" s="8" t="s">
        <v>96</v>
      </c>
      <c r="D51" s="8" t="s">
        <v>112</v>
      </c>
      <c r="E51" s="8"/>
      <c r="F51" s="10" t="n">
        <v>10</v>
      </c>
      <c r="G51" s="8" t="s">
        <v>105</v>
      </c>
      <c r="H51" s="8" t="s">
        <v>132</v>
      </c>
    </row>
    <row r="52" customFormat="false" ht="17.15" hidden="false" customHeight="false" outlineLevel="0" collapsed="false">
      <c r="A52" s="8" t="s">
        <v>43</v>
      </c>
      <c r="B52" s="8" t="s">
        <v>48</v>
      </c>
      <c r="C52" s="8" t="s">
        <v>96</v>
      </c>
      <c r="D52" s="8" t="s">
        <v>113</v>
      </c>
      <c r="E52" s="8"/>
      <c r="F52" s="10" t="n">
        <v>5</v>
      </c>
      <c r="G52" s="8" t="s">
        <v>105</v>
      </c>
      <c r="H52" s="8" t="s">
        <v>132</v>
      </c>
    </row>
    <row r="53" customFormat="false" ht="17.15" hidden="false" customHeight="false" outlineLevel="0" collapsed="false">
      <c r="A53" s="8" t="s">
        <v>43</v>
      </c>
      <c r="B53" s="8" t="s">
        <v>48</v>
      </c>
      <c r="C53" s="8" t="s">
        <v>96</v>
      </c>
      <c r="D53" s="8" t="s">
        <v>114</v>
      </c>
      <c r="E53" s="8"/>
      <c r="F53" s="10" t="n">
        <v>13</v>
      </c>
      <c r="G53" s="8" t="s">
        <v>105</v>
      </c>
      <c r="H53" s="8" t="s">
        <v>132</v>
      </c>
    </row>
    <row r="54" customFormat="false" ht="17.15" hidden="false" customHeight="false" outlineLevel="0" collapsed="false">
      <c r="A54" s="8" t="s">
        <v>43</v>
      </c>
      <c r="B54" s="8" t="s">
        <v>48</v>
      </c>
      <c r="C54" s="8" t="s">
        <v>96</v>
      </c>
      <c r="D54" s="8" t="s">
        <v>115</v>
      </c>
      <c r="E54" s="8"/>
      <c r="F54" s="10" t="n">
        <v>6</v>
      </c>
      <c r="G54" s="8" t="s">
        <v>105</v>
      </c>
      <c r="H54" s="8" t="s">
        <v>132</v>
      </c>
    </row>
    <row r="55" customFormat="false" ht="17.15" hidden="false" customHeight="false" outlineLevel="0" collapsed="false">
      <c r="A55" s="8" t="s">
        <v>43</v>
      </c>
      <c r="B55" s="8" t="s">
        <v>48</v>
      </c>
      <c r="C55" s="8" t="s">
        <v>96</v>
      </c>
      <c r="D55" s="8" t="s">
        <v>116</v>
      </c>
      <c r="E55" s="8"/>
      <c r="F55" s="10" t="n">
        <v>9</v>
      </c>
      <c r="G55" s="8" t="s">
        <v>105</v>
      </c>
      <c r="H55" s="8" t="s">
        <v>132</v>
      </c>
    </row>
    <row r="56" customFormat="false" ht="17.15" hidden="false" customHeight="false" outlineLevel="0" collapsed="false">
      <c r="A56" s="8" t="s">
        <v>43</v>
      </c>
      <c r="B56" s="8" t="s">
        <v>48</v>
      </c>
      <c r="C56" s="8" t="s">
        <v>96</v>
      </c>
      <c r="D56" s="8" t="s">
        <v>117</v>
      </c>
      <c r="E56" s="8"/>
      <c r="F56" s="10" t="n">
        <v>9</v>
      </c>
      <c r="G56" s="8" t="s">
        <v>105</v>
      </c>
      <c r="H56" s="8" t="s">
        <v>132</v>
      </c>
    </row>
    <row r="57" customFormat="false" ht="17.15" hidden="false" customHeight="false" outlineLevel="0" collapsed="false">
      <c r="A57" s="8" t="s">
        <v>43</v>
      </c>
      <c r="B57" s="8" t="s">
        <v>48</v>
      </c>
      <c r="C57" s="8" t="s">
        <v>96</v>
      </c>
      <c r="D57" s="8" t="s">
        <v>118</v>
      </c>
      <c r="E57" s="8"/>
      <c r="F57" s="10" t="n">
        <v>10</v>
      </c>
      <c r="G57" s="8" t="s">
        <v>105</v>
      </c>
      <c r="H57" s="8" t="s">
        <v>132</v>
      </c>
    </row>
    <row r="58" customFormat="false" ht="17.15" hidden="false" customHeight="false" outlineLevel="0" collapsed="false">
      <c r="A58" s="8" t="s">
        <v>43</v>
      </c>
      <c r="B58" s="8" t="s">
        <v>48</v>
      </c>
      <c r="C58" s="8" t="s">
        <v>96</v>
      </c>
      <c r="D58" s="8" t="s">
        <v>119</v>
      </c>
      <c r="E58" s="8"/>
      <c r="F58" s="10" t="n">
        <v>8</v>
      </c>
      <c r="G58" s="8" t="s">
        <v>105</v>
      </c>
      <c r="H58" s="8" t="s">
        <v>132</v>
      </c>
    </row>
    <row r="59" customFormat="false" ht="17.15" hidden="false" customHeight="false" outlineLevel="0" collapsed="false">
      <c r="A59" s="8" t="s">
        <v>43</v>
      </c>
      <c r="B59" s="8" t="s">
        <v>48</v>
      </c>
      <c r="C59" s="8" t="s">
        <v>96</v>
      </c>
      <c r="D59" s="8" t="s">
        <v>120</v>
      </c>
      <c r="E59" s="8"/>
      <c r="F59" s="10" t="n">
        <v>10</v>
      </c>
      <c r="G59" s="8" t="s">
        <v>105</v>
      </c>
      <c r="H59" s="8" t="s">
        <v>132</v>
      </c>
    </row>
    <row r="60" customFormat="false" ht="17.15" hidden="false" customHeight="false" outlineLevel="0" collapsed="false">
      <c r="A60" s="8" t="s">
        <v>43</v>
      </c>
      <c r="B60" s="8" t="s">
        <v>48</v>
      </c>
      <c r="C60" s="8" t="s">
        <v>96</v>
      </c>
      <c r="D60" s="8" t="s">
        <v>121</v>
      </c>
      <c r="E60" s="8"/>
      <c r="F60" s="10" t="n">
        <v>8</v>
      </c>
      <c r="G60" s="8" t="s">
        <v>105</v>
      </c>
      <c r="H60" s="8" t="s">
        <v>132</v>
      </c>
    </row>
    <row r="61" customFormat="false" ht="17.15" hidden="false" customHeight="false" outlineLevel="0" collapsed="false">
      <c r="A61" s="8" t="s">
        <v>43</v>
      </c>
      <c r="B61" s="8" t="s">
        <v>48</v>
      </c>
      <c r="C61" s="8" t="s">
        <v>96</v>
      </c>
      <c r="D61" s="8" t="s">
        <v>122</v>
      </c>
      <c r="E61" s="8"/>
      <c r="F61" s="10" t="n">
        <v>8</v>
      </c>
      <c r="G61" s="8" t="s">
        <v>105</v>
      </c>
      <c r="H61" s="8" t="s">
        <v>132</v>
      </c>
    </row>
    <row r="62" customFormat="false" ht="17.15" hidden="false" customHeight="false" outlineLevel="0" collapsed="false">
      <c r="A62" s="8" t="s">
        <v>43</v>
      </c>
      <c r="B62" s="8" t="s">
        <v>48</v>
      </c>
      <c r="C62" s="8" t="s">
        <v>96</v>
      </c>
      <c r="D62" s="8" t="s">
        <v>123</v>
      </c>
      <c r="E62" s="8"/>
      <c r="F62" s="10" t="n">
        <v>14</v>
      </c>
      <c r="G62" s="8" t="s">
        <v>105</v>
      </c>
      <c r="H62" s="8" t="s">
        <v>132</v>
      </c>
    </row>
    <row r="63" customFormat="false" ht="17.15" hidden="false" customHeight="false" outlineLevel="0" collapsed="false">
      <c r="A63" s="8" t="s">
        <v>43</v>
      </c>
      <c r="B63" s="8" t="s">
        <v>48</v>
      </c>
      <c r="C63" s="8" t="s">
        <v>96</v>
      </c>
      <c r="D63" s="8" t="s">
        <v>124</v>
      </c>
      <c r="E63" s="8"/>
      <c r="F63" s="10" t="n">
        <v>11</v>
      </c>
      <c r="G63" s="8" t="s">
        <v>105</v>
      </c>
      <c r="H63" s="8" t="s">
        <v>132</v>
      </c>
    </row>
    <row r="64" customFormat="false" ht="17.15" hidden="false" customHeight="false" outlineLevel="0" collapsed="false">
      <c r="A64" s="8" t="s">
        <v>43</v>
      </c>
      <c r="B64" s="8" t="s">
        <v>48</v>
      </c>
      <c r="C64" s="8" t="s">
        <v>96</v>
      </c>
      <c r="D64" s="8" t="s">
        <v>125</v>
      </c>
      <c r="E64" s="8"/>
      <c r="F64" s="10" t="n">
        <v>10</v>
      </c>
      <c r="G64" s="8" t="s">
        <v>105</v>
      </c>
      <c r="H64" s="8" t="s">
        <v>132</v>
      </c>
    </row>
    <row r="65" customFormat="false" ht="17.15" hidden="false" customHeight="false" outlineLevel="0" collapsed="false">
      <c r="A65" s="8" t="s">
        <v>43</v>
      </c>
      <c r="B65" s="8" t="s">
        <v>48</v>
      </c>
      <c r="C65" s="8" t="s">
        <v>96</v>
      </c>
      <c r="D65" s="8" t="s">
        <v>126</v>
      </c>
      <c r="E65" s="8"/>
      <c r="F65" s="10" t="n">
        <v>6</v>
      </c>
      <c r="G65" s="8" t="s">
        <v>105</v>
      </c>
      <c r="H65" s="8" t="s">
        <v>132</v>
      </c>
    </row>
    <row r="66" customFormat="false" ht="17.15" hidden="false" customHeight="false" outlineLevel="0" collapsed="false">
      <c r="A66" s="8" t="s">
        <v>43</v>
      </c>
      <c r="B66" s="8" t="s">
        <v>48</v>
      </c>
      <c r="C66" s="8" t="s">
        <v>96</v>
      </c>
      <c r="D66" s="8" t="s">
        <v>127</v>
      </c>
      <c r="E66" s="8"/>
      <c r="F66" s="10" t="n">
        <v>11</v>
      </c>
      <c r="G66" s="8" t="s">
        <v>105</v>
      </c>
      <c r="H66" s="8" t="s">
        <v>132</v>
      </c>
    </row>
    <row r="67" customFormat="false" ht="17.15" hidden="false" customHeight="false" outlineLevel="0" collapsed="false">
      <c r="A67" s="8" t="s">
        <v>43</v>
      </c>
      <c r="B67" s="8" t="s">
        <v>48</v>
      </c>
      <c r="C67" s="8" t="s">
        <v>96</v>
      </c>
      <c r="D67" s="8" t="s">
        <v>128</v>
      </c>
      <c r="E67" s="8"/>
      <c r="F67" s="10" t="n">
        <v>5</v>
      </c>
      <c r="G67" s="8" t="s">
        <v>105</v>
      </c>
      <c r="H67" s="8" t="s">
        <v>132</v>
      </c>
    </row>
    <row r="68" customFormat="false" ht="17.15" hidden="false" customHeight="false" outlineLevel="0" collapsed="false">
      <c r="A68" s="8" t="s">
        <v>43</v>
      </c>
      <c r="B68" s="8" t="s">
        <v>48</v>
      </c>
      <c r="C68" s="8" t="s">
        <v>96</v>
      </c>
      <c r="D68" s="8" t="s">
        <v>129</v>
      </c>
      <c r="E68" s="8"/>
      <c r="F68" s="10" t="n">
        <v>4</v>
      </c>
      <c r="G68" s="8" t="s">
        <v>105</v>
      </c>
      <c r="H68" s="8" t="s">
        <v>132</v>
      </c>
    </row>
    <row r="69" customFormat="false" ht="17.15" hidden="false" customHeight="false" outlineLevel="0" collapsed="false">
      <c r="A69" s="8" t="s">
        <v>43</v>
      </c>
      <c r="B69" s="8" t="s">
        <v>48</v>
      </c>
      <c r="C69" s="8" t="s">
        <v>96</v>
      </c>
      <c r="D69" s="8" t="s">
        <v>130</v>
      </c>
      <c r="E69" s="8"/>
      <c r="F69" s="10" t="n">
        <v>8</v>
      </c>
      <c r="G69" s="8" t="s">
        <v>105</v>
      </c>
      <c r="H69" s="8" t="s">
        <v>132</v>
      </c>
    </row>
    <row r="70" customFormat="false" ht="17.15" hidden="false" customHeight="false" outlineLevel="0" collapsed="false">
      <c r="A70" s="8" t="s">
        <v>43</v>
      </c>
      <c r="B70" s="8" t="s">
        <v>48</v>
      </c>
      <c r="C70" s="8" t="s">
        <v>96</v>
      </c>
      <c r="D70" s="8" t="s">
        <v>131</v>
      </c>
      <c r="E70" s="8"/>
      <c r="F70" s="10" t="n">
        <v>228</v>
      </c>
      <c r="G70" s="8" t="s">
        <v>105</v>
      </c>
      <c r="H70" s="8" t="s">
        <v>132</v>
      </c>
    </row>
    <row r="71" customFormat="false" ht="17.15" hidden="false" customHeight="false" outlineLevel="0" collapsed="false">
      <c r="A71" s="8" t="s">
        <v>43</v>
      </c>
      <c r="B71" s="8" t="s">
        <v>51</v>
      </c>
      <c r="C71" s="8" t="s">
        <v>96</v>
      </c>
      <c r="D71" s="8" t="s">
        <v>104</v>
      </c>
      <c r="E71" s="8"/>
      <c r="F71" s="10" t="n">
        <v>11</v>
      </c>
      <c r="G71" s="8" t="s">
        <v>105</v>
      </c>
      <c r="H71" s="8" t="s">
        <v>133</v>
      </c>
    </row>
    <row r="72" customFormat="false" ht="17.15" hidden="false" customHeight="false" outlineLevel="0" collapsed="false">
      <c r="A72" s="8" t="s">
        <v>43</v>
      </c>
      <c r="B72" s="8" t="s">
        <v>51</v>
      </c>
      <c r="C72" s="8" t="s">
        <v>96</v>
      </c>
      <c r="D72" s="8" t="s">
        <v>107</v>
      </c>
      <c r="E72" s="8"/>
      <c r="F72" s="10" t="n">
        <v>9</v>
      </c>
      <c r="G72" s="8" t="s">
        <v>105</v>
      </c>
      <c r="H72" s="8" t="s">
        <v>133</v>
      </c>
    </row>
    <row r="73" customFormat="false" ht="17.15" hidden="false" customHeight="false" outlineLevel="0" collapsed="false">
      <c r="A73" s="8" t="s">
        <v>43</v>
      </c>
      <c r="B73" s="8" t="s">
        <v>51</v>
      </c>
      <c r="C73" s="8" t="s">
        <v>96</v>
      </c>
      <c r="D73" s="8" t="s">
        <v>108</v>
      </c>
      <c r="E73" s="8"/>
      <c r="F73" s="10" t="n">
        <v>4</v>
      </c>
      <c r="G73" s="8" t="s">
        <v>105</v>
      </c>
      <c r="H73" s="8" t="s">
        <v>133</v>
      </c>
    </row>
    <row r="74" customFormat="false" ht="17.15" hidden="false" customHeight="false" outlineLevel="0" collapsed="false">
      <c r="A74" s="8" t="s">
        <v>43</v>
      </c>
      <c r="B74" s="8" t="s">
        <v>51</v>
      </c>
      <c r="C74" s="8" t="s">
        <v>96</v>
      </c>
      <c r="D74" s="8" t="s">
        <v>109</v>
      </c>
      <c r="E74" s="8"/>
      <c r="F74" s="10" t="n">
        <v>12</v>
      </c>
      <c r="G74" s="8" t="s">
        <v>105</v>
      </c>
      <c r="H74" s="8" t="s">
        <v>133</v>
      </c>
    </row>
    <row r="75" customFormat="false" ht="17.15" hidden="false" customHeight="false" outlineLevel="0" collapsed="false">
      <c r="A75" s="8" t="s">
        <v>43</v>
      </c>
      <c r="B75" s="8" t="s">
        <v>51</v>
      </c>
      <c r="C75" s="8" t="s">
        <v>96</v>
      </c>
      <c r="D75" s="8" t="s">
        <v>110</v>
      </c>
      <c r="E75" s="8"/>
      <c r="F75" s="10" t="n">
        <v>7</v>
      </c>
      <c r="G75" s="8" t="s">
        <v>105</v>
      </c>
      <c r="H75" s="8" t="s">
        <v>133</v>
      </c>
    </row>
    <row r="76" customFormat="false" ht="17.15" hidden="false" customHeight="false" outlineLevel="0" collapsed="false">
      <c r="A76" s="8" t="s">
        <v>43</v>
      </c>
      <c r="B76" s="8" t="s">
        <v>51</v>
      </c>
      <c r="C76" s="8" t="s">
        <v>96</v>
      </c>
      <c r="D76" s="8" t="s">
        <v>111</v>
      </c>
      <c r="E76" s="8"/>
      <c r="F76" s="10" t="n">
        <v>5</v>
      </c>
      <c r="G76" s="8" t="s">
        <v>105</v>
      </c>
      <c r="H76" s="8" t="s">
        <v>133</v>
      </c>
    </row>
    <row r="77" customFormat="false" ht="17.15" hidden="false" customHeight="false" outlineLevel="0" collapsed="false">
      <c r="A77" s="8" t="s">
        <v>43</v>
      </c>
      <c r="B77" s="8" t="s">
        <v>51</v>
      </c>
      <c r="C77" s="8" t="s">
        <v>96</v>
      </c>
      <c r="D77" s="8" t="s">
        <v>112</v>
      </c>
      <c r="E77" s="8"/>
      <c r="F77" s="10" t="n">
        <v>6</v>
      </c>
      <c r="G77" s="8" t="s">
        <v>105</v>
      </c>
      <c r="H77" s="8" t="s">
        <v>133</v>
      </c>
    </row>
    <row r="78" customFormat="false" ht="17.15" hidden="false" customHeight="false" outlineLevel="0" collapsed="false">
      <c r="A78" s="8" t="s">
        <v>43</v>
      </c>
      <c r="B78" s="8" t="s">
        <v>51</v>
      </c>
      <c r="C78" s="8" t="s">
        <v>96</v>
      </c>
      <c r="D78" s="8" t="s">
        <v>113</v>
      </c>
      <c r="E78" s="8"/>
      <c r="F78" s="10" t="n">
        <v>5</v>
      </c>
      <c r="G78" s="8" t="s">
        <v>105</v>
      </c>
      <c r="H78" s="8" t="s">
        <v>133</v>
      </c>
    </row>
    <row r="79" customFormat="false" ht="17.15" hidden="false" customHeight="false" outlineLevel="0" collapsed="false">
      <c r="A79" s="8" t="s">
        <v>43</v>
      </c>
      <c r="B79" s="8" t="s">
        <v>51</v>
      </c>
      <c r="C79" s="8" t="s">
        <v>96</v>
      </c>
      <c r="D79" s="8" t="s">
        <v>114</v>
      </c>
      <c r="E79" s="8"/>
      <c r="F79" s="10" t="n">
        <v>6</v>
      </c>
      <c r="G79" s="8" t="s">
        <v>105</v>
      </c>
      <c r="H79" s="8" t="s">
        <v>133</v>
      </c>
    </row>
    <row r="80" customFormat="false" ht="17.15" hidden="false" customHeight="false" outlineLevel="0" collapsed="false">
      <c r="A80" s="8" t="s">
        <v>43</v>
      </c>
      <c r="B80" s="8" t="s">
        <v>51</v>
      </c>
      <c r="C80" s="8" t="s">
        <v>96</v>
      </c>
      <c r="D80" s="8" t="s">
        <v>115</v>
      </c>
      <c r="E80" s="8"/>
      <c r="F80" s="10" t="n">
        <v>6</v>
      </c>
      <c r="G80" s="8" t="s">
        <v>105</v>
      </c>
      <c r="H80" s="8" t="s">
        <v>133</v>
      </c>
    </row>
    <row r="81" customFormat="false" ht="17.15" hidden="false" customHeight="false" outlineLevel="0" collapsed="false">
      <c r="A81" s="8" t="s">
        <v>43</v>
      </c>
      <c r="B81" s="8" t="s">
        <v>51</v>
      </c>
      <c r="C81" s="8" t="s">
        <v>96</v>
      </c>
      <c r="D81" s="8" t="s">
        <v>116</v>
      </c>
      <c r="E81" s="8"/>
      <c r="F81" s="10" t="n">
        <v>7</v>
      </c>
      <c r="G81" s="8" t="s">
        <v>105</v>
      </c>
      <c r="H81" s="8" t="s">
        <v>133</v>
      </c>
    </row>
    <row r="82" customFormat="false" ht="17.15" hidden="false" customHeight="false" outlineLevel="0" collapsed="false">
      <c r="A82" s="8" t="s">
        <v>43</v>
      </c>
      <c r="B82" s="8" t="s">
        <v>51</v>
      </c>
      <c r="C82" s="8" t="s">
        <v>96</v>
      </c>
      <c r="D82" s="8" t="s">
        <v>117</v>
      </c>
      <c r="E82" s="8"/>
      <c r="F82" s="10" t="n">
        <v>5</v>
      </c>
      <c r="G82" s="8" t="s">
        <v>105</v>
      </c>
      <c r="H82" s="8" t="s">
        <v>133</v>
      </c>
    </row>
    <row r="83" customFormat="false" ht="17.15" hidden="false" customHeight="false" outlineLevel="0" collapsed="false">
      <c r="A83" s="8" t="s">
        <v>43</v>
      </c>
      <c r="B83" s="8" t="s">
        <v>51</v>
      </c>
      <c r="C83" s="8" t="s">
        <v>96</v>
      </c>
      <c r="D83" s="8" t="s">
        <v>118</v>
      </c>
      <c r="E83" s="8"/>
      <c r="F83" s="10" t="n">
        <v>12</v>
      </c>
      <c r="G83" s="8" t="s">
        <v>105</v>
      </c>
      <c r="H83" s="8" t="s">
        <v>133</v>
      </c>
    </row>
    <row r="84" customFormat="false" ht="17.15" hidden="false" customHeight="false" outlineLevel="0" collapsed="false">
      <c r="A84" s="8" t="s">
        <v>43</v>
      </c>
      <c r="B84" s="8" t="s">
        <v>51</v>
      </c>
      <c r="C84" s="8" t="s">
        <v>96</v>
      </c>
      <c r="D84" s="8" t="s">
        <v>119</v>
      </c>
      <c r="E84" s="8"/>
      <c r="F84" s="10" t="n">
        <v>8</v>
      </c>
      <c r="G84" s="8" t="s">
        <v>105</v>
      </c>
      <c r="H84" s="8" t="s">
        <v>133</v>
      </c>
    </row>
    <row r="85" customFormat="false" ht="17.15" hidden="false" customHeight="false" outlineLevel="0" collapsed="false">
      <c r="A85" s="8" t="s">
        <v>43</v>
      </c>
      <c r="B85" s="8" t="s">
        <v>51</v>
      </c>
      <c r="C85" s="8" t="s">
        <v>96</v>
      </c>
      <c r="D85" s="8" t="s">
        <v>120</v>
      </c>
      <c r="E85" s="8"/>
      <c r="F85" s="10" t="n">
        <v>5</v>
      </c>
      <c r="G85" s="8" t="s">
        <v>105</v>
      </c>
      <c r="H85" s="8" t="s">
        <v>133</v>
      </c>
    </row>
    <row r="86" customFormat="false" ht="17.15" hidden="false" customHeight="false" outlineLevel="0" collapsed="false">
      <c r="A86" s="8" t="s">
        <v>43</v>
      </c>
      <c r="B86" s="8" t="s">
        <v>51</v>
      </c>
      <c r="C86" s="8" t="s">
        <v>96</v>
      </c>
      <c r="D86" s="8" t="s">
        <v>121</v>
      </c>
      <c r="E86" s="8"/>
      <c r="F86" s="10" t="n">
        <v>4</v>
      </c>
      <c r="G86" s="8" t="s">
        <v>105</v>
      </c>
      <c r="H86" s="8" t="s">
        <v>133</v>
      </c>
    </row>
    <row r="87" customFormat="false" ht="17.15" hidden="false" customHeight="false" outlineLevel="0" collapsed="false">
      <c r="A87" s="8" t="s">
        <v>43</v>
      </c>
      <c r="B87" s="8" t="s">
        <v>51</v>
      </c>
      <c r="C87" s="8" t="s">
        <v>96</v>
      </c>
      <c r="D87" s="8" t="s">
        <v>122</v>
      </c>
      <c r="E87" s="8"/>
      <c r="F87" s="10" t="n">
        <v>10</v>
      </c>
      <c r="G87" s="8" t="s">
        <v>105</v>
      </c>
      <c r="H87" s="8" t="s">
        <v>133</v>
      </c>
    </row>
    <row r="88" customFormat="false" ht="17.15" hidden="false" customHeight="false" outlineLevel="0" collapsed="false">
      <c r="A88" s="8" t="s">
        <v>43</v>
      </c>
      <c r="B88" s="8" t="s">
        <v>51</v>
      </c>
      <c r="C88" s="8" t="s">
        <v>96</v>
      </c>
      <c r="D88" s="8" t="s">
        <v>123</v>
      </c>
      <c r="E88" s="8"/>
      <c r="F88" s="10" t="n">
        <v>14</v>
      </c>
      <c r="G88" s="8" t="s">
        <v>105</v>
      </c>
      <c r="H88" s="8" t="s">
        <v>133</v>
      </c>
    </row>
    <row r="89" customFormat="false" ht="17.15" hidden="false" customHeight="false" outlineLevel="0" collapsed="false">
      <c r="A89" s="8" t="s">
        <v>43</v>
      </c>
      <c r="B89" s="8" t="s">
        <v>51</v>
      </c>
      <c r="C89" s="8" t="s">
        <v>96</v>
      </c>
      <c r="D89" s="8" t="s">
        <v>124</v>
      </c>
      <c r="E89" s="8"/>
      <c r="F89" s="10" t="n">
        <v>8</v>
      </c>
      <c r="G89" s="8" t="s">
        <v>105</v>
      </c>
      <c r="H89" s="8" t="s">
        <v>133</v>
      </c>
    </row>
    <row r="90" customFormat="false" ht="17.15" hidden="false" customHeight="false" outlineLevel="0" collapsed="false">
      <c r="A90" s="8" t="s">
        <v>43</v>
      </c>
      <c r="B90" s="8" t="s">
        <v>51</v>
      </c>
      <c r="C90" s="8" t="s">
        <v>96</v>
      </c>
      <c r="D90" s="8" t="s">
        <v>125</v>
      </c>
      <c r="E90" s="8"/>
      <c r="F90" s="10" t="n">
        <v>8</v>
      </c>
      <c r="G90" s="8" t="s">
        <v>105</v>
      </c>
      <c r="H90" s="8" t="s">
        <v>133</v>
      </c>
    </row>
    <row r="91" customFormat="false" ht="17.15" hidden="false" customHeight="false" outlineLevel="0" collapsed="false">
      <c r="A91" s="8" t="s">
        <v>43</v>
      </c>
      <c r="B91" s="8" t="s">
        <v>51</v>
      </c>
      <c r="C91" s="8" t="s">
        <v>96</v>
      </c>
      <c r="D91" s="8" t="s">
        <v>126</v>
      </c>
      <c r="E91" s="8"/>
      <c r="F91" s="10" t="n">
        <v>2</v>
      </c>
      <c r="G91" s="8" t="s">
        <v>105</v>
      </c>
      <c r="H91" s="8" t="s">
        <v>133</v>
      </c>
    </row>
    <row r="92" customFormat="false" ht="17.15" hidden="false" customHeight="false" outlineLevel="0" collapsed="false">
      <c r="A92" s="8" t="s">
        <v>43</v>
      </c>
      <c r="B92" s="8" t="s">
        <v>51</v>
      </c>
      <c r="C92" s="8" t="s">
        <v>96</v>
      </c>
      <c r="D92" s="8" t="s">
        <v>127</v>
      </c>
      <c r="E92" s="8"/>
      <c r="F92" s="10" t="n">
        <v>10</v>
      </c>
      <c r="G92" s="8" t="s">
        <v>105</v>
      </c>
      <c r="H92" s="8" t="s">
        <v>133</v>
      </c>
    </row>
    <row r="93" customFormat="false" ht="17.15" hidden="false" customHeight="false" outlineLevel="0" collapsed="false">
      <c r="A93" s="8" t="s">
        <v>43</v>
      </c>
      <c r="B93" s="8" t="s">
        <v>51</v>
      </c>
      <c r="C93" s="8" t="s">
        <v>96</v>
      </c>
      <c r="D93" s="8" t="s">
        <v>128</v>
      </c>
      <c r="E93" s="8"/>
      <c r="F93" s="10" t="n">
        <v>3</v>
      </c>
      <c r="G93" s="8" t="s">
        <v>105</v>
      </c>
      <c r="H93" s="8" t="s">
        <v>133</v>
      </c>
    </row>
    <row r="94" customFormat="false" ht="17.15" hidden="false" customHeight="false" outlineLevel="0" collapsed="false">
      <c r="A94" s="8" t="s">
        <v>43</v>
      </c>
      <c r="B94" s="8" t="s">
        <v>51</v>
      </c>
      <c r="C94" s="8" t="s">
        <v>96</v>
      </c>
      <c r="D94" s="8" t="s">
        <v>129</v>
      </c>
      <c r="E94" s="8"/>
      <c r="F94" s="10" t="n">
        <v>4</v>
      </c>
      <c r="G94" s="8" t="s">
        <v>105</v>
      </c>
      <c r="H94" s="8" t="s">
        <v>133</v>
      </c>
    </row>
    <row r="95" customFormat="false" ht="17.15" hidden="false" customHeight="false" outlineLevel="0" collapsed="false">
      <c r="A95" s="8" t="s">
        <v>43</v>
      </c>
      <c r="B95" s="8" t="s">
        <v>51</v>
      </c>
      <c r="C95" s="8" t="s">
        <v>96</v>
      </c>
      <c r="D95" s="8" t="s">
        <v>130</v>
      </c>
      <c r="E95" s="8"/>
      <c r="F95" s="10" t="n">
        <v>7</v>
      </c>
      <c r="G95" s="8" t="s">
        <v>105</v>
      </c>
      <c r="H95" s="8" t="s">
        <v>133</v>
      </c>
    </row>
    <row r="96" customFormat="false" ht="17.15" hidden="false" customHeight="false" outlineLevel="0" collapsed="false">
      <c r="A96" s="8" t="s">
        <v>43</v>
      </c>
      <c r="B96" s="8" t="s">
        <v>51</v>
      </c>
      <c r="C96" s="8" t="s">
        <v>96</v>
      </c>
      <c r="D96" s="8" t="s">
        <v>131</v>
      </c>
      <c r="E96" s="8"/>
      <c r="F96" s="10" t="n">
        <v>178</v>
      </c>
      <c r="G96" s="8" t="s">
        <v>105</v>
      </c>
      <c r="H96" s="8" t="s">
        <v>133</v>
      </c>
    </row>
    <row r="97" customFormat="false" ht="17.15" hidden="false" customHeight="false" outlineLevel="0" collapsed="false">
      <c r="A97" s="8" t="s">
        <v>43</v>
      </c>
      <c r="B97" s="8" t="s">
        <v>54</v>
      </c>
      <c r="C97" s="8" t="s">
        <v>96</v>
      </c>
      <c r="D97" s="8" t="s">
        <v>104</v>
      </c>
      <c r="E97" s="8"/>
      <c r="F97" s="10" t="n">
        <v>25</v>
      </c>
      <c r="G97" s="8" t="s">
        <v>105</v>
      </c>
      <c r="H97" s="8" t="s">
        <v>134</v>
      </c>
    </row>
    <row r="98" customFormat="false" ht="17.15" hidden="false" customHeight="false" outlineLevel="0" collapsed="false">
      <c r="A98" s="8" t="s">
        <v>43</v>
      </c>
      <c r="B98" s="8" t="s">
        <v>54</v>
      </c>
      <c r="C98" s="8" t="s">
        <v>96</v>
      </c>
      <c r="D98" s="8" t="s">
        <v>107</v>
      </c>
      <c r="E98" s="8"/>
      <c r="F98" s="10" t="n">
        <v>15</v>
      </c>
      <c r="G98" s="8" t="s">
        <v>105</v>
      </c>
      <c r="H98" s="8" t="s">
        <v>134</v>
      </c>
    </row>
    <row r="99" customFormat="false" ht="17.15" hidden="false" customHeight="false" outlineLevel="0" collapsed="false">
      <c r="A99" s="8" t="s">
        <v>43</v>
      </c>
      <c r="B99" s="8" t="s">
        <v>54</v>
      </c>
      <c r="C99" s="8" t="s">
        <v>96</v>
      </c>
      <c r="D99" s="8" t="s">
        <v>108</v>
      </c>
      <c r="E99" s="8"/>
      <c r="F99" s="10" t="n">
        <v>8</v>
      </c>
      <c r="G99" s="8" t="s">
        <v>105</v>
      </c>
      <c r="H99" s="8" t="s">
        <v>134</v>
      </c>
    </row>
    <row r="100" customFormat="false" ht="17.15" hidden="false" customHeight="false" outlineLevel="0" collapsed="false">
      <c r="A100" s="8" t="s">
        <v>43</v>
      </c>
      <c r="B100" s="8" t="s">
        <v>54</v>
      </c>
      <c r="C100" s="8" t="s">
        <v>96</v>
      </c>
      <c r="D100" s="8" t="s">
        <v>109</v>
      </c>
      <c r="E100" s="8"/>
      <c r="F100" s="10" t="n">
        <v>14</v>
      </c>
      <c r="G100" s="8" t="s">
        <v>105</v>
      </c>
      <c r="H100" s="8" t="s">
        <v>134</v>
      </c>
    </row>
    <row r="101" customFormat="false" ht="17.15" hidden="false" customHeight="false" outlineLevel="0" collapsed="false">
      <c r="A101" s="8" t="s">
        <v>43</v>
      </c>
      <c r="B101" s="8" t="s">
        <v>54</v>
      </c>
      <c r="C101" s="8" t="s">
        <v>96</v>
      </c>
      <c r="D101" s="8" t="s">
        <v>110</v>
      </c>
      <c r="E101" s="8"/>
      <c r="F101" s="10" t="n">
        <v>18</v>
      </c>
      <c r="G101" s="8" t="s">
        <v>105</v>
      </c>
      <c r="H101" s="8" t="s">
        <v>134</v>
      </c>
    </row>
    <row r="102" customFormat="false" ht="17.15" hidden="false" customHeight="false" outlineLevel="0" collapsed="false">
      <c r="A102" s="8" t="s">
        <v>43</v>
      </c>
      <c r="B102" s="8" t="s">
        <v>54</v>
      </c>
      <c r="C102" s="8" t="s">
        <v>96</v>
      </c>
      <c r="D102" s="8" t="s">
        <v>111</v>
      </c>
      <c r="E102" s="8"/>
      <c r="F102" s="10" t="n">
        <v>15</v>
      </c>
      <c r="G102" s="8" t="s">
        <v>105</v>
      </c>
      <c r="H102" s="8" t="s">
        <v>134</v>
      </c>
    </row>
    <row r="103" customFormat="false" ht="17.15" hidden="false" customHeight="false" outlineLevel="0" collapsed="false">
      <c r="A103" s="8" t="s">
        <v>43</v>
      </c>
      <c r="B103" s="8" t="s">
        <v>54</v>
      </c>
      <c r="C103" s="8" t="s">
        <v>96</v>
      </c>
      <c r="D103" s="8" t="s">
        <v>112</v>
      </c>
      <c r="E103" s="8"/>
      <c r="F103" s="10" t="n">
        <v>14</v>
      </c>
      <c r="G103" s="8" t="s">
        <v>105</v>
      </c>
      <c r="H103" s="8" t="s">
        <v>134</v>
      </c>
    </row>
    <row r="104" customFormat="false" ht="17.15" hidden="false" customHeight="false" outlineLevel="0" collapsed="false">
      <c r="A104" s="8" t="s">
        <v>43</v>
      </c>
      <c r="B104" s="8" t="s">
        <v>54</v>
      </c>
      <c r="C104" s="8" t="s">
        <v>96</v>
      </c>
      <c r="D104" s="8" t="s">
        <v>113</v>
      </c>
      <c r="E104" s="8"/>
      <c r="F104" s="10" t="n">
        <v>11</v>
      </c>
      <c r="G104" s="8" t="s">
        <v>105</v>
      </c>
      <c r="H104" s="8" t="s">
        <v>134</v>
      </c>
    </row>
    <row r="105" customFormat="false" ht="17.15" hidden="false" customHeight="false" outlineLevel="0" collapsed="false">
      <c r="A105" s="8" t="s">
        <v>43</v>
      </c>
      <c r="B105" s="8" t="s">
        <v>54</v>
      </c>
      <c r="C105" s="8" t="s">
        <v>96</v>
      </c>
      <c r="D105" s="8" t="s">
        <v>114</v>
      </c>
      <c r="E105" s="8"/>
      <c r="F105" s="10" t="n">
        <v>10</v>
      </c>
      <c r="G105" s="8" t="s">
        <v>105</v>
      </c>
      <c r="H105" s="8" t="s">
        <v>134</v>
      </c>
    </row>
    <row r="106" customFormat="false" ht="17.15" hidden="false" customHeight="false" outlineLevel="0" collapsed="false">
      <c r="A106" s="8" t="s">
        <v>43</v>
      </c>
      <c r="B106" s="8" t="s">
        <v>54</v>
      </c>
      <c r="C106" s="8" t="s">
        <v>96</v>
      </c>
      <c r="D106" s="8" t="s">
        <v>115</v>
      </c>
      <c r="E106" s="8"/>
      <c r="F106" s="10" t="n">
        <v>12</v>
      </c>
      <c r="G106" s="8" t="s">
        <v>105</v>
      </c>
      <c r="H106" s="8" t="s">
        <v>134</v>
      </c>
    </row>
    <row r="107" customFormat="false" ht="17.15" hidden="false" customHeight="false" outlineLevel="0" collapsed="false">
      <c r="A107" s="8" t="s">
        <v>43</v>
      </c>
      <c r="B107" s="8" t="s">
        <v>54</v>
      </c>
      <c r="C107" s="8" t="s">
        <v>96</v>
      </c>
      <c r="D107" s="8" t="s">
        <v>116</v>
      </c>
      <c r="E107" s="8"/>
      <c r="F107" s="10" t="n">
        <v>13</v>
      </c>
      <c r="G107" s="8" t="s">
        <v>105</v>
      </c>
      <c r="H107" s="8" t="s">
        <v>134</v>
      </c>
    </row>
    <row r="108" customFormat="false" ht="17.15" hidden="false" customHeight="false" outlineLevel="0" collapsed="false">
      <c r="A108" s="8" t="s">
        <v>43</v>
      </c>
      <c r="B108" s="8" t="s">
        <v>54</v>
      </c>
      <c r="C108" s="8" t="s">
        <v>96</v>
      </c>
      <c r="D108" s="8" t="s">
        <v>117</v>
      </c>
      <c r="E108" s="8"/>
      <c r="F108" s="10" t="n">
        <v>9</v>
      </c>
      <c r="G108" s="8" t="s">
        <v>105</v>
      </c>
      <c r="H108" s="8" t="s">
        <v>134</v>
      </c>
    </row>
    <row r="109" customFormat="false" ht="17.15" hidden="false" customHeight="false" outlineLevel="0" collapsed="false">
      <c r="A109" s="8" t="s">
        <v>43</v>
      </c>
      <c r="B109" s="8" t="s">
        <v>54</v>
      </c>
      <c r="C109" s="8" t="s">
        <v>96</v>
      </c>
      <c r="D109" s="8" t="s">
        <v>118</v>
      </c>
      <c r="E109" s="8"/>
      <c r="F109" s="10" t="n">
        <v>16</v>
      </c>
      <c r="G109" s="8" t="s">
        <v>105</v>
      </c>
      <c r="H109" s="8" t="s">
        <v>134</v>
      </c>
    </row>
    <row r="110" customFormat="false" ht="17.15" hidden="false" customHeight="false" outlineLevel="0" collapsed="false">
      <c r="A110" s="8" t="s">
        <v>43</v>
      </c>
      <c r="B110" s="8" t="s">
        <v>54</v>
      </c>
      <c r="C110" s="8" t="s">
        <v>96</v>
      </c>
      <c r="D110" s="8" t="s">
        <v>119</v>
      </c>
      <c r="E110" s="8"/>
      <c r="F110" s="10" t="n">
        <v>9</v>
      </c>
      <c r="G110" s="8" t="s">
        <v>105</v>
      </c>
      <c r="H110" s="8" t="s">
        <v>134</v>
      </c>
    </row>
    <row r="111" customFormat="false" ht="17.15" hidden="false" customHeight="false" outlineLevel="0" collapsed="false">
      <c r="A111" s="8" t="s">
        <v>43</v>
      </c>
      <c r="B111" s="8" t="s">
        <v>54</v>
      </c>
      <c r="C111" s="8" t="s">
        <v>96</v>
      </c>
      <c r="D111" s="8" t="s">
        <v>120</v>
      </c>
      <c r="E111" s="8"/>
      <c r="F111" s="10" t="n">
        <v>8</v>
      </c>
      <c r="G111" s="8" t="s">
        <v>105</v>
      </c>
      <c r="H111" s="8" t="s">
        <v>134</v>
      </c>
    </row>
    <row r="112" customFormat="false" ht="17.15" hidden="false" customHeight="false" outlineLevel="0" collapsed="false">
      <c r="A112" s="8" t="s">
        <v>43</v>
      </c>
      <c r="B112" s="8" t="s">
        <v>54</v>
      </c>
      <c r="C112" s="8" t="s">
        <v>96</v>
      </c>
      <c r="D112" s="8" t="s">
        <v>121</v>
      </c>
      <c r="E112" s="8"/>
      <c r="F112" s="10" t="n">
        <v>9</v>
      </c>
      <c r="G112" s="8" t="s">
        <v>105</v>
      </c>
      <c r="H112" s="8" t="s">
        <v>134</v>
      </c>
    </row>
    <row r="113" customFormat="false" ht="17.15" hidden="false" customHeight="false" outlineLevel="0" collapsed="false">
      <c r="A113" s="8" t="s">
        <v>43</v>
      </c>
      <c r="B113" s="8" t="s">
        <v>54</v>
      </c>
      <c r="C113" s="8" t="s">
        <v>96</v>
      </c>
      <c r="D113" s="8" t="s">
        <v>122</v>
      </c>
      <c r="E113" s="8"/>
      <c r="F113" s="10" t="n">
        <v>16</v>
      </c>
      <c r="G113" s="8" t="s">
        <v>105</v>
      </c>
      <c r="H113" s="8" t="s">
        <v>134</v>
      </c>
    </row>
    <row r="114" customFormat="false" ht="17.15" hidden="false" customHeight="false" outlineLevel="0" collapsed="false">
      <c r="A114" s="8" t="s">
        <v>43</v>
      </c>
      <c r="B114" s="8" t="s">
        <v>54</v>
      </c>
      <c r="C114" s="8" t="s">
        <v>96</v>
      </c>
      <c r="D114" s="8" t="s">
        <v>123</v>
      </c>
      <c r="E114" s="8"/>
      <c r="F114" s="10" t="n">
        <v>29</v>
      </c>
      <c r="G114" s="8" t="s">
        <v>105</v>
      </c>
      <c r="H114" s="8" t="s">
        <v>134</v>
      </c>
    </row>
    <row r="115" customFormat="false" ht="17.15" hidden="false" customHeight="false" outlineLevel="0" collapsed="false">
      <c r="A115" s="8" t="s">
        <v>43</v>
      </c>
      <c r="B115" s="8" t="s">
        <v>54</v>
      </c>
      <c r="C115" s="8" t="s">
        <v>96</v>
      </c>
      <c r="D115" s="8" t="s">
        <v>124</v>
      </c>
      <c r="E115" s="8"/>
      <c r="F115" s="10" t="n">
        <v>12</v>
      </c>
      <c r="G115" s="8" t="s">
        <v>105</v>
      </c>
      <c r="H115" s="8" t="s">
        <v>134</v>
      </c>
    </row>
    <row r="116" customFormat="false" ht="17.15" hidden="false" customHeight="false" outlineLevel="0" collapsed="false">
      <c r="A116" s="8" t="s">
        <v>43</v>
      </c>
      <c r="B116" s="8" t="s">
        <v>54</v>
      </c>
      <c r="C116" s="8" t="s">
        <v>96</v>
      </c>
      <c r="D116" s="8" t="s">
        <v>125</v>
      </c>
      <c r="E116" s="8"/>
      <c r="F116" s="10" t="n">
        <v>15</v>
      </c>
      <c r="G116" s="8" t="s">
        <v>105</v>
      </c>
      <c r="H116" s="8" t="s">
        <v>134</v>
      </c>
    </row>
    <row r="117" customFormat="false" ht="17.15" hidden="false" customHeight="false" outlineLevel="0" collapsed="false">
      <c r="A117" s="8" t="s">
        <v>43</v>
      </c>
      <c r="B117" s="8" t="s">
        <v>54</v>
      </c>
      <c r="C117" s="8" t="s">
        <v>96</v>
      </c>
      <c r="D117" s="8" t="s">
        <v>126</v>
      </c>
      <c r="E117" s="8"/>
      <c r="F117" s="10" t="n">
        <v>6</v>
      </c>
      <c r="G117" s="8" t="s">
        <v>105</v>
      </c>
      <c r="H117" s="8" t="s">
        <v>134</v>
      </c>
    </row>
    <row r="118" customFormat="false" ht="17.15" hidden="false" customHeight="false" outlineLevel="0" collapsed="false">
      <c r="A118" s="8" t="s">
        <v>43</v>
      </c>
      <c r="B118" s="8" t="s">
        <v>54</v>
      </c>
      <c r="C118" s="8" t="s">
        <v>96</v>
      </c>
      <c r="D118" s="8" t="s">
        <v>127</v>
      </c>
      <c r="E118" s="8"/>
      <c r="F118" s="10" t="n">
        <v>15</v>
      </c>
      <c r="G118" s="8" t="s">
        <v>105</v>
      </c>
      <c r="H118" s="8" t="s">
        <v>134</v>
      </c>
    </row>
    <row r="119" customFormat="false" ht="17.15" hidden="false" customHeight="false" outlineLevel="0" collapsed="false">
      <c r="A119" s="8" t="s">
        <v>43</v>
      </c>
      <c r="B119" s="8" t="s">
        <v>54</v>
      </c>
      <c r="C119" s="8" t="s">
        <v>96</v>
      </c>
      <c r="D119" s="8" t="s">
        <v>128</v>
      </c>
      <c r="E119" s="8"/>
      <c r="F119" s="10" t="n">
        <v>10</v>
      </c>
      <c r="G119" s="8" t="s">
        <v>105</v>
      </c>
      <c r="H119" s="8" t="s">
        <v>134</v>
      </c>
    </row>
    <row r="120" customFormat="false" ht="17.15" hidden="false" customHeight="false" outlineLevel="0" collapsed="false">
      <c r="A120" s="8" t="s">
        <v>43</v>
      </c>
      <c r="B120" s="8" t="s">
        <v>54</v>
      </c>
      <c r="C120" s="8" t="s">
        <v>96</v>
      </c>
      <c r="D120" s="8" t="s">
        <v>129</v>
      </c>
      <c r="E120" s="8"/>
      <c r="F120" s="10" t="n">
        <v>10</v>
      </c>
      <c r="G120" s="8" t="s">
        <v>105</v>
      </c>
      <c r="H120" s="8" t="s">
        <v>134</v>
      </c>
    </row>
    <row r="121" customFormat="false" ht="17.15" hidden="false" customHeight="false" outlineLevel="0" collapsed="false">
      <c r="A121" s="8" t="s">
        <v>43</v>
      </c>
      <c r="B121" s="8" t="s">
        <v>54</v>
      </c>
      <c r="C121" s="8" t="s">
        <v>96</v>
      </c>
      <c r="D121" s="8" t="s">
        <v>130</v>
      </c>
      <c r="E121" s="8"/>
      <c r="F121" s="10" t="n">
        <v>13</v>
      </c>
      <c r="G121" s="8" t="s">
        <v>105</v>
      </c>
      <c r="H121" s="8" t="s">
        <v>134</v>
      </c>
    </row>
    <row r="122" customFormat="false" ht="17.15" hidden="false" customHeight="false" outlineLevel="0" collapsed="false">
      <c r="A122" s="8" t="s">
        <v>43</v>
      </c>
      <c r="B122" s="8" t="s">
        <v>54</v>
      </c>
      <c r="C122" s="8" t="s">
        <v>96</v>
      </c>
      <c r="D122" s="8" t="s">
        <v>131</v>
      </c>
      <c r="E122" s="8"/>
      <c r="F122" s="10" t="n">
        <v>332</v>
      </c>
      <c r="G122" s="8" t="s">
        <v>105</v>
      </c>
      <c r="H122" s="8" t="s">
        <v>134</v>
      </c>
    </row>
    <row r="123" customFormat="false" ht="17.15" hidden="false" customHeight="false" outlineLevel="0" collapsed="false">
      <c r="A123" s="8" t="s">
        <v>43</v>
      </c>
      <c r="B123" s="8" t="s">
        <v>57</v>
      </c>
      <c r="C123" s="8" t="s">
        <v>96</v>
      </c>
      <c r="D123" s="8" t="s">
        <v>104</v>
      </c>
      <c r="E123" s="8"/>
      <c r="F123" s="10" t="n">
        <v>7</v>
      </c>
      <c r="G123" s="8" t="s">
        <v>105</v>
      </c>
      <c r="H123" s="8" t="s">
        <v>135</v>
      </c>
    </row>
    <row r="124" customFormat="false" ht="17.15" hidden="false" customHeight="false" outlineLevel="0" collapsed="false">
      <c r="A124" s="8" t="s">
        <v>43</v>
      </c>
      <c r="B124" s="8" t="s">
        <v>57</v>
      </c>
      <c r="C124" s="8" t="s">
        <v>96</v>
      </c>
      <c r="D124" s="8" t="s">
        <v>107</v>
      </c>
      <c r="E124" s="8"/>
      <c r="F124" s="10" t="n">
        <v>7</v>
      </c>
      <c r="G124" s="8" t="s">
        <v>105</v>
      </c>
      <c r="H124" s="8" t="s">
        <v>135</v>
      </c>
    </row>
    <row r="125" customFormat="false" ht="17.15" hidden="false" customHeight="false" outlineLevel="0" collapsed="false">
      <c r="A125" s="8" t="s">
        <v>43</v>
      </c>
      <c r="B125" s="8" t="s">
        <v>57</v>
      </c>
      <c r="C125" s="8" t="s">
        <v>96</v>
      </c>
      <c r="D125" s="8" t="s">
        <v>108</v>
      </c>
      <c r="E125" s="8"/>
      <c r="F125" s="10" t="n">
        <v>4</v>
      </c>
      <c r="G125" s="8" t="s">
        <v>105</v>
      </c>
      <c r="H125" s="8" t="s">
        <v>135</v>
      </c>
    </row>
    <row r="126" customFormat="false" ht="17.15" hidden="false" customHeight="false" outlineLevel="0" collapsed="false">
      <c r="A126" s="8" t="s">
        <v>43</v>
      </c>
      <c r="B126" s="8" t="s">
        <v>57</v>
      </c>
      <c r="C126" s="8" t="s">
        <v>96</v>
      </c>
      <c r="D126" s="8" t="s">
        <v>109</v>
      </c>
      <c r="E126" s="8"/>
      <c r="F126" s="10" t="n">
        <v>9</v>
      </c>
      <c r="G126" s="8" t="s">
        <v>105</v>
      </c>
      <c r="H126" s="8" t="s">
        <v>135</v>
      </c>
    </row>
    <row r="127" customFormat="false" ht="17.15" hidden="false" customHeight="false" outlineLevel="0" collapsed="false">
      <c r="A127" s="8" t="s">
        <v>43</v>
      </c>
      <c r="B127" s="8" t="s">
        <v>57</v>
      </c>
      <c r="C127" s="8" t="s">
        <v>96</v>
      </c>
      <c r="D127" s="8" t="s">
        <v>110</v>
      </c>
      <c r="E127" s="8"/>
      <c r="F127" s="10" t="n">
        <v>7</v>
      </c>
      <c r="G127" s="8" t="s">
        <v>105</v>
      </c>
      <c r="H127" s="8" t="s">
        <v>135</v>
      </c>
    </row>
    <row r="128" customFormat="false" ht="17.15" hidden="false" customHeight="false" outlineLevel="0" collapsed="false">
      <c r="A128" s="8" t="s">
        <v>43</v>
      </c>
      <c r="B128" s="8" t="s">
        <v>57</v>
      </c>
      <c r="C128" s="8" t="s">
        <v>96</v>
      </c>
      <c r="D128" s="8" t="s">
        <v>111</v>
      </c>
      <c r="E128" s="8"/>
      <c r="F128" s="10" t="n">
        <v>5</v>
      </c>
      <c r="G128" s="8" t="s">
        <v>105</v>
      </c>
      <c r="H128" s="8" t="s">
        <v>135</v>
      </c>
    </row>
    <row r="129" customFormat="false" ht="17.15" hidden="false" customHeight="false" outlineLevel="0" collapsed="false">
      <c r="A129" s="8" t="s">
        <v>43</v>
      </c>
      <c r="B129" s="8" t="s">
        <v>57</v>
      </c>
      <c r="C129" s="8" t="s">
        <v>96</v>
      </c>
      <c r="D129" s="8" t="s">
        <v>112</v>
      </c>
      <c r="E129" s="8"/>
      <c r="F129" s="10" t="n">
        <v>6</v>
      </c>
      <c r="G129" s="8" t="s">
        <v>105</v>
      </c>
      <c r="H129" s="8" t="s">
        <v>135</v>
      </c>
    </row>
    <row r="130" customFormat="false" ht="17.15" hidden="false" customHeight="false" outlineLevel="0" collapsed="false">
      <c r="A130" s="8" t="s">
        <v>43</v>
      </c>
      <c r="B130" s="8" t="s">
        <v>57</v>
      </c>
      <c r="C130" s="8" t="s">
        <v>96</v>
      </c>
      <c r="D130" s="8" t="s">
        <v>113</v>
      </c>
      <c r="E130" s="8"/>
      <c r="F130" s="10" t="n">
        <v>3</v>
      </c>
      <c r="G130" s="8" t="s">
        <v>105</v>
      </c>
      <c r="H130" s="8" t="s">
        <v>135</v>
      </c>
    </row>
    <row r="131" customFormat="false" ht="17.15" hidden="false" customHeight="false" outlineLevel="0" collapsed="false">
      <c r="A131" s="8" t="s">
        <v>43</v>
      </c>
      <c r="B131" s="8" t="s">
        <v>57</v>
      </c>
      <c r="C131" s="8" t="s">
        <v>96</v>
      </c>
      <c r="D131" s="8" t="s">
        <v>114</v>
      </c>
      <c r="E131" s="8"/>
      <c r="F131" s="10" t="n">
        <v>8</v>
      </c>
      <c r="G131" s="8" t="s">
        <v>105</v>
      </c>
      <c r="H131" s="8" t="s">
        <v>135</v>
      </c>
    </row>
    <row r="132" customFormat="false" ht="17.15" hidden="false" customHeight="false" outlineLevel="0" collapsed="false">
      <c r="A132" s="8" t="s">
        <v>43</v>
      </c>
      <c r="B132" s="8" t="s">
        <v>57</v>
      </c>
      <c r="C132" s="8" t="s">
        <v>96</v>
      </c>
      <c r="D132" s="8" t="s">
        <v>115</v>
      </c>
      <c r="E132" s="8"/>
      <c r="F132" s="10" t="n">
        <v>5</v>
      </c>
      <c r="G132" s="8" t="s">
        <v>105</v>
      </c>
      <c r="H132" s="8" t="s">
        <v>135</v>
      </c>
    </row>
    <row r="133" customFormat="false" ht="17.15" hidden="false" customHeight="false" outlineLevel="0" collapsed="false">
      <c r="A133" s="8" t="s">
        <v>43</v>
      </c>
      <c r="B133" s="8" t="s">
        <v>57</v>
      </c>
      <c r="C133" s="8" t="s">
        <v>96</v>
      </c>
      <c r="D133" s="8" t="s">
        <v>116</v>
      </c>
      <c r="E133" s="8"/>
      <c r="F133" s="10" t="n">
        <v>4</v>
      </c>
      <c r="G133" s="8" t="s">
        <v>105</v>
      </c>
      <c r="H133" s="8" t="s">
        <v>135</v>
      </c>
    </row>
    <row r="134" customFormat="false" ht="17.15" hidden="false" customHeight="false" outlineLevel="0" collapsed="false">
      <c r="A134" s="8" t="s">
        <v>43</v>
      </c>
      <c r="B134" s="8" t="s">
        <v>57</v>
      </c>
      <c r="C134" s="8" t="s">
        <v>96</v>
      </c>
      <c r="D134" s="8" t="s">
        <v>117</v>
      </c>
      <c r="E134" s="8"/>
      <c r="F134" s="10" t="n">
        <v>7</v>
      </c>
      <c r="G134" s="8" t="s">
        <v>105</v>
      </c>
      <c r="H134" s="8" t="s">
        <v>135</v>
      </c>
    </row>
    <row r="135" customFormat="false" ht="17.15" hidden="false" customHeight="false" outlineLevel="0" collapsed="false">
      <c r="A135" s="8" t="s">
        <v>43</v>
      </c>
      <c r="B135" s="8" t="s">
        <v>57</v>
      </c>
      <c r="C135" s="8" t="s">
        <v>96</v>
      </c>
      <c r="D135" s="8" t="s">
        <v>118</v>
      </c>
      <c r="E135" s="8"/>
      <c r="F135" s="10" t="n">
        <v>5</v>
      </c>
      <c r="G135" s="8" t="s">
        <v>105</v>
      </c>
      <c r="H135" s="8" t="s">
        <v>135</v>
      </c>
    </row>
    <row r="136" customFormat="false" ht="17.15" hidden="false" customHeight="false" outlineLevel="0" collapsed="false">
      <c r="A136" s="8" t="s">
        <v>43</v>
      </c>
      <c r="B136" s="8" t="s">
        <v>57</v>
      </c>
      <c r="C136" s="8" t="s">
        <v>96</v>
      </c>
      <c r="D136" s="8" t="s">
        <v>119</v>
      </c>
      <c r="E136" s="8"/>
      <c r="F136" s="10" t="n">
        <v>5</v>
      </c>
      <c r="G136" s="8" t="s">
        <v>105</v>
      </c>
      <c r="H136" s="8" t="s">
        <v>135</v>
      </c>
    </row>
    <row r="137" customFormat="false" ht="17.15" hidden="false" customHeight="false" outlineLevel="0" collapsed="false">
      <c r="A137" s="8" t="s">
        <v>43</v>
      </c>
      <c r="B137" s="8" t="s">
        <v>57</v>
      </c>
      <c r="C137" s="8" t="s">
        <v>96</v>
      </c>
      <c r="D137" s="8" t="s">
        <v>120</v>
      </c>
      <c r="E137" s="8"/>
      <c r="F137" s="10" t="n">
        <v>5</v>
      </c>
      <c r="G137" s="8" t="s">
        <v>105</v>
      </c>
      <c r="H137" s="8" t="s">
        <v>135</v>
      </c>
    </row>
    <row r="138" customFormat="false" ht="17.15" hidden="false" customHeight="false" outlineLevel="0" collapsed="false">
      <c r="A138" s="8" t="s">
        <v>43</v>
      </c>
      <c r="B138" s="8" t="s">
        <v>57</v>
      </c>
      <c r="C138" s="8" t="s">
        <v>96</v>
      </c>
      <c r="D138" s="8" t="s">
        <v>121</v>
      </c>
      <c r="E138" s="8"/>
      <c r="F138" s="10" t="n">
        <v>3</v>
      </c>
      <c r="G138" s="8" t="s">
        <v>105</v>
      </c>
      <c r="H138" s="8" t="s">
        <v>135</v>
      </c>
    </row>
    <row r="139" customFormat="false" ht="17.15" hidden="false" customHeight="false" outlineLevel="0" collapsed="false">
      <c r="A139" s="8" t="s">
        <v>43</v>
      </c>
      <c r="B139" s="8" t="s">
        <v>57</v>
      </c>
      <c r="C139" s="8" t="s">
        <v>96</v>
      </c>
      <c r="D139" s="8" t="s">
        <v>122</v>
      </c>
      <c r="E139" s="8"/>
      <c r="F139" s="10" t="n">
        <v>7</v>
      </c>
      <c r="G139" s="8" t="s">
        <v>105</v>
      </c>
      <c r="H139" s="8" t="s">
        <v>135</v>
      </c>
    </row>
    <row r="140" customFormat="false" ht="17.15" hidden="false" customHeight="false" outlineLevel="0" collapsed="false">
      <c r="A140" s="8" t="s">
        <v>43</v>
      </c>
      <c r="B140" s="8" t="s">
        <v>57</v>
      </c>
      <c r="C140" s="8" t="s">
        <v>96</v>
      </c>
      <c r="D140" s="8" t="s">
        <v>123</v>
      </c>
      <c r="E140" s="8"/>
      <c r="F140" s="10" t="n">
        <v>9</v>
      </c>
      <c r="G140" s="8" t="s">
        <v>105</v>
      </c>
      <c r="H140" s="8" t="s">
        <v>135</v>
      </c>
    </row>
    <row r="141" customFormat="false" ht="17.15" hidden="false" customHeight="false" outlineLevel="0" collapsed="false">
      <c r="A141" s="8" t="s">
        <v>43</v>
      </c>
      <c r="B141" s="8" t="s">
        <v>57</v>
      </c>
      <c r="C141" s="8" t="s">
        <v>96</v>
      </c>
      <c r="D141" s="8" t="s">
        <v>124</v>
      </c>
      <c r="E141" s="8"/>
      <c r="F141" s="10" t="n">
        <v>7</v>
      </c>
      <c r="G141" s="8" t="s">
        <v>105</v>
      </c>
      <c r="H141" s="8" t="s">
        <v>135</v>
      </c>
    </row>
    <row r="142" customFormat="false" ht="17.15" hidden="false" customHeight="false" outlineLevel="0" collapsed="false">
      <c r="A142" s="8" t="s">
        <v>43</v>
      </c>
      <c r="B142" s="8" t="s">
        <v>57</v>
      </c>
      <c r="C142" s="8" t="s">
        <v>96</v>
      </c>
      <c r="D142" s="8" t="s">
        <v>125</v>
      </c>
      <c r="E142" s="8"/>
      <c r="F142" s="10" t="n">
        <v>7</v>
      </c>
      <c r="G142" s="8" t="s">
        <v>105</v>
      </c>
      <c r="H142" s="8" t="s">
        <v>135</v>
      </c>
    </row>
    <row r="143" customFormat="false" ht="17.15" hidden="false" customHeight="false" outlineLevel="0" collapsed="false">
      <c r="A143" s="8" t="s">
        <v>43</v>
      </c>
      <c r="B143" s="8" t="s">
        <v>57</v>
      </c>
      <c r="C143" s="8" t="s">
        <v>96</v>
      </c>
      <c r="D143" s="8" t="s">
        <v>126</v>
      </c>
      <c r="E143" s="8"/>
      <c r="F143" s="10" t="n">
        <v>3</v>
      </c>
      <c r="G143" s="8" t="s">
        <v>105</v>
      </c>
      <c r="H143" s="8" t="s">
        <v>135</v>
      </c>
    </row>
    <row r="144" customFormat="false" ht="17.15" hidden="false" customHeight="false" outlineLevel="0" collapsed="false">
      <c r="A144" s="8" t="s">
        <v>43</v>
      </c>
      <c r="B144" s="8" t="s">
        <v>57</v>
      </c>
      <c r="C144" s="8" t="s">
        <v>96</v>
      </c>
      <c r="D144" s="8" t="s">
        <v>127</v>
      </c>
      <c r="E144" s="8"/>
      <c r="F144" s="10" t="n">
        <v>6</v>
      </c>
      <c r="G144" s="8" t="s">
        <v>105</v>
      </c>
      <c r="H144" s="8" t="s">
        <v>135</v>
      </c>
    </row>
    <row r="145" customFormat="false" ht="17.15" hidden="false" customHeight="false" outlineLevel="0" collapsed="false">
      <c r="A145" s="8" t="s">
        <v>43</v>
      </c>
      <c r="B145" s="8" t="s">
        <v>57</v>
      </c>
      <c r="C145" s="8" t="s">
        <v>96</v>
      </c>
      <c r="D145" s="8" t="s">
        <v>128</v>
      </c>
      <c r="E145" s="8"/>
      <c r="F145" s="10" t="n">
        <v>2</v>
      </c>
      <c r="G145" s="8" t="s">
        <v>105</v>
      </c>
      <c r="H145" s="8" t="s">
        <v>135</v>
      </c>
    </row>
    <row r="146" customFormat="false" ht="17.15" hidden="false" customHeight="false" outlineLevel="0" collapsed="false">
      <c r="A146" s="8" t="s">
        <v>43</v>
      </c>
      <c r="B146" s="8" t="s">
        <v>57</v>
      </c>
      <c r="C146" s="8" t="s">
        <v>96</v>
      </c>
      <c r="D146" s="8" t="s">
        <v>129</v>
      </c>
      <c r="E146" s="8"/>
      <c r="F146" s="10" t="n">
        <v>3</v>
      </c>
      <c r="G146" s="8" t="s">
        <v>105</v>
      </c>
      <c r="H146" s="8" t="s">
        <v>135</v>
      </c>
    </row>
    <row r="147" customFormat="false" ht="17.15" hidden="false" customHeight="false" outlineLevel="0" collapsed="false">
      <c r="A147" s="8" t="s">
        <v>43</v>
      </c>
      <c r="B147" s="8" t="s">
        <v>57</v>
      </c>
      <c r="C147" s="8" t="s">
        <v>96</v>
      </c>
      <c r="D147" s="8" t="s">
        <v>130</v>
      </c>
      <c r="E147" s="8"/>
      <c r="F147" s="10" t="n">
        <v>5</v>
      </c>
      <c r="G147" s="8" t="s">
        <v>105</v>
      </c>
      <c r="H147" s="8" t="s">
        <v>135</v>
      </c>
    </row>
    <row r="148" customFormat="false" ht="17.15" hidden="false" customHeight="false" outlineLevel="0" collapsed="false">
      <c r="A148" s="8" t="s">
        <v>43</v>
      </c>
      <c r="B148" s="8" t="s">
        <v>57</v>
      </c>
      <c r="C148" s="8" t="s">
        <v>96</v>
      </c>
      <c r="D148" s="8" t="s">
        <v>131</v>
      </c>
      <c r="E148" s="8"/>
      <c r="F148" s="10" t="n">
        <v>139</v>
      </c>
      <c r="G148" s="8" t="s">
        <v>105</v>
      </c>
      <c r="H148" s="8" t="s">
        <v>135</v>
      </c>
    </row>
    <row r="149" customFormat="false" ht="17.15" hidden="false" customHeight="false" outlineLevel="0" collapsed="false">
      <c r="A149" s="8" t="s">
        <v>60</v>
      </c>
      <c r="B149" s="8" t="s">
        <v>61</v>
      </c>
      <c r="C149" s="8" t="s">
        <v>136</v>
      </c>
      <c r="D149" s="8" t="s">
        <v>137</v>
      </c>
      <c r="E149" s="8" t="n">
        <v>2025</v>
      </c>
      <c r="F149" s="10" t="n">
        <v>3325</v>
      </c>
      <c r="G149" s="8" t="s">
        <v>138</v>
      </c>
      <c r="H149" s="8" t="s">
        <v>139</v>
      </c>
    </row>
    <row r="150" customFormat="false" ht="17.15" hidden="false" customHeight="false" outlineLevel="0" collapsed="false">
      <c r="A150" s="8" t="s">
        <v>60</v>
      </c>
      <c r="B150" s="8" t="s">
        <v>61</v>
      </c>
      <c r="C150" s="8" t="s">
        <v>140</v>
      </c>
      <c r="D150" s="8" t="s">
        <v>96</v>
      </c>
      <c r="E150" s="8" t="n">
        <v>2025</v>
      </c>
      <c r="F150" s="10" t="n">
        <v>796</v>
      </c>
      <c r="G150" s="8" t="s">
        <v>138</v>
      </c>
      <c r="H150" s="8" t="s">
        <v>139</v>
      </c>
    </row>
    <row r="151" customFormat="false" ht="17.15" hidden="false" customHeight="false" outlineLevel="0" collapsed="false">
      <c r="A151" s="8" t="s">
        <v>60</v>
      </c>
      <c r="B151" s="8" t="s">
        <v>61</v>
      </c>
      <c r="C151" s="8" t="s">
        <v>140</v>
      </c>
      <c r="D151" s="8" t="s">
        <v>141</v>
      </c>
      <c r="E151" s="8" t="n">
        <v>2025</v>
      </c>
      <c r="F151" s="10" t="n">
        <v>103</v>
      </c>
      <c r="G151" s="8" t="s">
        <v>138</v>
      </c>
      <c r="H151" s="8" t="s">
        <v>139</v>
      </c>
    </row>
    <row r="152" customFormat="false" ht="17.15" hidden="false" customHeight="false" outlineLevel="0" collapsed="false">
      <c r="A152" s="8" t="s">
        <v>60</v>
      </c>
      <c r="B152" s="8" t="s">
        <v>61</v>
      </c>
      <c r="C152" s="8" t="s">
        <v>140</v>
      </c>
      <c r="D152" s="8" t="s">
        <v>142</v>
      </c>
      <c r="E152" s="8" t="n">
        <v>2025</v>
      </c>
      <c r="F152" s="10" t="n">
        <v>56</v>
      </c>
      <c r="G152" s="8" t="s">
        <v>138</v>
      </c>
      <c r="H152" s="8" t="s">
        <v>139</v>
      </c>
    </row>
    <row r="153" customFormat="false" ht="17.15" hidden="false" customHeight="false" outlineLevel="0" collapsed="false">
      <c r="A153" s="8" t="s">
        <v>60</v>
      </c>
      <c r="B153" s="8" t="s">
        <v>61</v>
      </c>
      <c r="C153" s="8" t="s">
        <v>140</v>
      </c>
      <c r="D153" s="8" t="s">
        <v>143</v>
      </c>
      <c r="E153" s="8" t="n">
        <v>2025</v>
      </c>
      <c r="F153" s="10" t="n">
        <v>294</v>
      </c>
      <c r="G153" s="8" t="s">
        <v>138</v>
      </c>
      <c r="H153" s="8" t="s">
        <v>139</v>
      </c>
    </row>
    <row r="154" customFormat="false" ht="17.15" hidden="false" customHeight="false" outlineLevel="0" collapsed="false">
      <c r="A154" s="8" t="s">
        <v>60</v>
      </c>
      <c r="B154" s="8" t="s">
        <v>61</v>
      </c>
      <c r="C154" s="8" t="s">
        <v>140</v>
      </c>
      <c r="D154" s="8" t="s">
        <v>144</v>
      </c>
      <c r="E154" s="8" t="n">
        <v>2025</v>
      </c>
      <c r="F154" s="10" t="n">
        <v>141</v>
      </c>
      <c r="G154" s="8" t="s">
        <v>138</v>
      </c>
      <c r="H154" s="8" t="s">
        <v>139</v>
      </c>
    </row>
    <row r="155" customFormat="false" ht="17.15" hidden="false" customHeight="false" outlineLevel="0" collapsed="false">
      <c r="A155" s="8" t="s">
        <v>60</v>
      </c>
      <c r="B155" s="8" t="s">
        <v>61</v>
      </c>
      <c r="C155" s="8" t="s">
        <v>140</v>
      </c>
      <c r="D155" s="8" t="s">
        <v>145</v>
      </c>
      <c r="E155" s="8" t="n">
        <v>2025</v>
      </c>
      <c r="F155" s="10" t="n">
        <v>88</v>
      </c>
      <c r="G155" s="8" t="s">
        <v>138</v>
      </c>
      <c r="H155" s="8" t="s">
        <v>139</v>
      </c>
    </row>
    <row r="156" customFormat="false" ht="17.15" hidden="false" customHeight="false" outlineLevel="0" collapsed="false">
      <c r="A156" s="8" t="s">
        <v>60</v>
      </c>
      <c r="B156" s="8" t="s">
        <v>61</v>
      </c>
      <c r="C156" s="8" t="s">
        <v>140</v>
      </c>
      <c r="D156" s="8" t="s">
        <v>146</v>
      </c>
      <c r="E156" s="8" t="n">
        <v>2025</v>
      </c>
      <c r="F156" s="10" t="n">
        <v>15</v>
      </c>
      <c r="G156" s="8" t="s">
        <v>138</v>
      </c>
      <c r="H156" s="8" t="s">
        <v>139</v>
      </c>
    </row>
    <row r="157" customFormat="false" ht="17.15" hidden="false" customHeight="false" outlineLevel="0" collapsed="false">
      <c r="A157" s="8" t="s">
        <v>60</v>
      </c>
      <c r="B157" s="8" t="s">
        <v>61</v>
      </c>
      <c r="C157" s="8" t="s">
        <v>140</v>
      </c>
      <c r="D157" s="8" t="s">
        <v>147</v>
      </c>
      <c r="E157" s="8" t="n">
        <v>2025</v>
      </c>
      <c r="F157" s="10" t="n">
        <v>20</v>
      </c>
      <c r="G157" s="8" t="s">
        <v>138</v>
      </c>
      <c r="H157" s="8" t="s">
        <v>139</v>
      </c>
    </row>
    <row r="158" customFormat="false" ht="17.15" hidden="false" customHeight="false" outlineLevel="0" collapsed="false">
      <c r="A158" s="8" t="s">
        <v>60</v>
      </c>
      <c r="B158" s="8" t="s">
        <v>61</v>
      </c>
      <c r="C158" s="8" t="s">
        <v>140</v>
      </c>
      <c r="D158" s="8" t="s">
        <v>99</v>
      </c>
      <c r="E158" s="8" t="n">
        <v>2025</v>
      </c>
      <c r="F158" s="10" t="n">
        <v>1109</v>
      </c>
      <c r="G158" s="8" t="s">
        <v>138</v>
      </c>
      <c r="H158" s="8" t="s">
        <v>139</v>
      </c>
    </row>
    <row r="159" customFormat="false" ht="17.15" hidden="false" customHeight="false" outlineLevel="0" collapsed="false">
      <c r="A159" s="8" t="s">
        <v>60</v>
      </c>
      <c r="B159" s="8" t="s">
        <v>61</v>
      </c>
      <c r="C159" s="8" t="s">
        <v>140</v>
      </c>
      <c r="D159" s="8" t="s">
        <v>148</v>
      </c>
      <c r="E159" s="8" t="n">
        <v>2025</v>
      </c>
      <c r="F159" s="10" t="n">
        <v>104</v>
      </c>
      <c r="G159" s="8" t="s">
        <v>138</v>
      </c>
      <c r="H159" s="8" t="s">
        <v>139</v>
      </c>
    </row>
    <row r="160" customFormat="false" ht="17.15" hidden="false" customHeight="false" outlineLevel="0" collapsed="false">
      <c r="A160" s="8" t="s">
        <v>60</v>
      </c>
      <c r="B160" s="8" t="s">
        <v>61</v>
      </c>
      <c r="C160" s="8" t="s">
        <v>140</v>
      </c>
      <c r="D160" s="8" t="s">
        <v>149</v>
      </c>
      <c r="E160" s="8" t="n">
        <v>2025</v>
      </c>
      <c r="F160" s="10" t="n">
        <v>106</v>
      </c>
      <c r="G160" s="8" t="s">
        <v>138</v>
      </c>
      <c r="H160" s="8" t="s">
        <v>139</v>
      </c>
    </row>
    <row r="161" customFormat="false" ht="17.15" hidden="false" customHeight="false" outlineLevel="0" collapsed="false">
      <c r="A161" s="8" t="s">
        <v>60</v>
      </c>
      <c r="B161" s="8" t="s">
        <v>61</v>
      </c>
      <c r="C161" s="8" t="s">
        <v>140</v>
      </c>
      <c r="D161" s="8" t="s">
        <v>150</v>
      </c>
      <c r="E161" s="8" t="n">
        <v>2025</v>
      </c>
      <c r="F161" s="10" t="n">
        <v>116</v>
      </c>
      <c r="G161" s="8" t="s">
        <v>138</v>
      </c>
      <c r="H161" s="8" t="s">
        <v>139</v>
      </c>
    </row>
    <row r="162" customFormat="false" ht="17.15" hidden="false" customHeight="false" outlineLevel="0" collapsed="false">
      <c r="A162" s="8" t="s">
        <v>60</v>
      </c>
      <c r="B162" s="8" t="s">
        <v>61</v>
      </c>
      <c r="C162" s="8" t="s">
        <v>140</v>
      </c>
      <c r="D162" s="8" t="s">
        <v>151</v>
      </c>
      <c r="E162" s="8" t="n">
        <v>2025</v>
      </c>
      <c r="F162" s="10" t="n">
        <v>72</v>
      </c>
      <c r="G162" s="8" t="s">
        <v>138</v>
      </c>
      <c r="H162" s="8" t="s">
        <v>139</v>
      </c>
    </row>
    <row r="163" customFormat="false" ht="17.15" hidden="false" customHeight="false" outlineLevel="0" collapsed="false">
      <c r="A163" s="8" t="s">
        <v>60</v>
      </c>
      <c r="B163" s="8" t="s">
        <v>61</v>
      </c>
      <c r="C163" s="8" t="s">
        <v>140</v>
      </c>
      <c r="D163" s="8" t="s">
        <v>152</v>
      </c>
      <c r="E163" s="8" t="n">
        <v>2025</v>
      </c>
      <c r="F163" s="10" t="n">
        <v>109</v>
      </c>
      <c r="G163" s="8" t="s">
        <v>138</v>
      </c>
      <c r="H163" s="8" t="s">
        <v>139</v>
      </c>
    </row>
    <row r="164" customFormat="false" ht="17.15" hidden="false" customHeight="false" outlineLevel="0" collapsed="false">
      <c r="A164" s="8" t="s">
        <v>60</v>
      </c>
      <c r="B164" s="8" t="s">
        <v>61</v>
      </c>
      <c r="C164" s="8" t="s">
        <v>140</v>
      </c>
      <c r="D164" s="8" t="s">
        <v>153</v>
      </c>
      <c r="E164" s="8" t="n">
        <v>2025</v>
      </c>
      <c r="F164" s="10" t="n">
        <v>72</v>
      </c>
      <c r="G164" s="8" t="s">
        <v>138</v>
      </c>
      <c r="H164" s="8" t="s">
        <v>139</v>
      </c>
    </row>
    <row r="165" customFormat="false" ht="17.15" hidden="false" customHeight="false" outlineLevel="0" collapsed="false">
      <c r="A165" s="8" t="s">
        <v>60</v>
      </c>
      <c r="B165" s="8" t="s">
        <v>61</v>
      </c>
      <c r="C165" s="8" t="s">
        <v>140</v>
      </c>
      <c r="D165" s="8" t="s">
        <v>154</v>
      </c>
      <c r="E165" s="8" t="n">
        <v>2025</v>
      </c>
      <c r="F165" s="10" t="n">
        <v>81</v>
      </c>
      <c r="G165" s="8" t="s">
        <v>138</v>
      </c>
      <c r="H165" s="8" t="s">
        <v>139</v>
      </c>
    </row>
    <row r="166" customFormat="false" ht="17.15" hidden="false" customHeight="false" outlineLevel="0" collapsed="false">
      <c r="A166" s="8" t="s">
        <v>60</v>
      </c>
      <c r="B166" s="8" t="s">
        <v>61</v>
      </c>
      <c r="C166" s="8" t="s">
        <v>140</v>
      </c>
      <c r="D166" s="8" t="s">
        <v>155</v>
      </c>
      <c r="E166" s="8" t="n">
        <v>2025</v>
      </c>
      <c r="F166" s="10" t="n">
        <v>43</v>
      </c>
      <c r="G166" s="8" t="s">
        <v>138</v>
      </c>
      <c r="H166" s="8" t="s">
        <v>139</v>
      </c>
    </row>
    <row r="167" customFormat="false" ht="17.15" hidden="false" customHeight="false" outlineLevel="0" collapsed="false">
      <c r="A167" s="8" t="s">
        <v>60</v>
      </c>
      <c r="B167" s="8" t="s">
        <v>64</v>
      </c>
      <c r="C167" s="8" t="s">
        <v>136</v>
      </c>
      <c r="D167" s="8" t="s">
        <v>137</v>
      </c>
      <c r="E167" s="8" t="n">
        <v>2024</v>
      </c>
      <c r="F167" s="10" t="n">
        <v>2649</v>
      </c>
      <c r="G167" s="8" t="s">
        <v>156</v>
      </c>
      <c r="H167" s="8" t="s">
        <v>157</v>
      </c>
    </row>
    <row r="168" customFormat="false" ht="17.15" hidden="false" customHeight="false" outlineLevel="0" collapsed="false">
      <c r="A168" s="8" t="s">
        <v>60</v>
      </c>
      <c r="B168" s="8" t="s">
        <v>64</v>
      </c>
      <c r="C168" s="8" t="s">
        <v>140</v>
      </c>
      <c r="D168" s="8" t="s">
        <v>96</v>
      </c>
      <c r="E168" s="8" t="n">
        <v>2024</v>
      </c>
      <c r="F168" s="10" t="n">
        <v>456</v>
      </c>
      <c r="G168" s="8" t="s">
        <v>156</v>
      </c>
      <c r="H168" s="8" t="s">
        <v>157</v>
      </c>
    </row>
    <row r="169" customFormat="false" ht="17.15" hidden="false" customHeight="false" outlineLevel="0" collapsed="false">
      <c r="A169" s="8" t="s">
        <v>60</v>
      </c>
      <c r="B169" s="8" t="s">
        <v>64</v>
      </c>
      <c r="C169" s="8" t="s">
        <v>140</v>
      </c>
      <c r="D169" s="8" t="s">
        <v>141</v>
      </c>
      <c r="E169" s="8" t="n">
        <v>2024</v>
      </c>
      <c r="F169" s="10" t="n">
        <v>264</v>
      </c>
      <c r="G169" s="8" t="s">
        <v>156</v>
      </c>
      <c r="H169" s="8" t="s">
        <v>157</v>
      </c>
    </row>
    <row r="170" customFormat="false" ht="17.15" hidden="false" customHeight="false" outlineLevel="0" collapsed="false">
      <c r="A170" s="8" t="s">
        <v>60</v>
      </c>
      <c r="B170" s="8" t="s">
        <v>64</v>
      </c>
      <c r="C170" s="8" t="s">
        <v>140</v>
      </c>
      <c r="D170" s="8" t="s">
        <v>142</v>
      </c>
      <c r="E170" s="8" t="n">
        <v>2024</v>
      </c>
      <c r="F170" s="10" t="n">
        <v>58</v>
      </c>
      <c r="G170" s="8" t="s">
        <v>156</v>
      </c>
      <c r="H170" s="8" t="s">
        <v>157</v>
      </c>
    </row>
    <row r="171" customFormat="false" ht="17.15" hidden="false" customHeight="false" outlineLevel="0" collapsed="false">
      <c r="A171" s="8" t="s">
        <v>60</v>
      </c>
      <c r="B171" s="8" t="s">
        <v>64</v>
      </c>
      <c r="C171" s="8" t="s">
        <v>140</v>
      </c>
      <c r="D171" s="8" t="s">
        <v>143</v>
      </c>
      <c r="E171" s="8" t="n">
        <v>2024</v>
      </c>
      <c r="F171" s="10" t="n">
        <v>239</v>
      </c>
      <c r="G171" s="8" t="s">
        <v>156</v>
      </c>
      <c r="H171" s="8" t="s">
        <v>157</v>
      </c>
    </row>
    <row r="172" customFormat="false" ht="17.15" hidden="false" customHeight="false" outlineLevel="0" collapsed="false">
      <c r="A172" s="8" t="s">
        <v>60</v>
      </c>
      <c r="B172" s="8" t="s">
        <v>64</v>
      </c>
      <c r="C172" s="8" t="s">
        <v>140</v>
      </c>
      <c r="D172" s="8" t="s">
        <v>144</v>
      </c>
      <c r="E172" s="8" t="n">
        <v>2024</v>
      </c>
      <c r="F172" s="10" t="n">
        <v>160</v>
      </c>
      <c r="G172" s="8" t="s">
        <v>156</v>
      </c>
      <c r="H172" s="8" t="s">
        <v>157</v>
      </c>
    </row>
    <row r="173" customFormat="false" ht="17.15" hidden="false" customHeight="false" outlineLevel="0" collapsed="false">
      <c r="A173" s="8" t="s">
        <v>60</v>
      </c>
      <c r="B173" s="8" t="s">
        <v>64</v>
      </c>
      <c r="C173" s="8" t="s">
        <v>140</v>
      </c>
      <c r="D173" s="8" t="s">
        <v>145</v>
      </c>
      <c r="E173" s="8" t="n">
        <v>2024</v>
      </c>
      <c r="F173" s="10" t="n">
        <v>53</v>
      </c>
      <c r="G173" s="8" t="s">
        <v>156</v>
      </c>
      <c r="H173" s="8" t="s">
        <v>157</v>
      </c>
    </row>
    <row r="174" customFormat="false" ht="17.15" hidden="false" customHeight="false" outlineLevel="0" collapsed="false">
      <c r="A174" s="8" t="s">
        <v>60</v>
      </c>
      <c r="B174" s="8" t="s">
        <v>64</v>
      </c>
      <c r="C174" s="8" t="s">
        <v>140</v>
      </c>
      <c r="D174" s="8" t="s">
        <v>146</v>
      </c>
      <c r="E174" s="8" t="n">
        <v>2024</v>
      </c>
      <c r="F174" s="10" t="n">
        <v>48</v>
      </c>
      <c r="G174" s="8" t="s">
        <v>156</v>
      </c>
      <c r="H174" s="8" t="s">
        <v>157</v>
      </c>
    </row>
    <row r="175" customFormat="false" ht="17.15" hidden="false" customHeight="false" outlineLevel="0" collapsed="false">
      <c r="A175" s="8" t="s">
        <v>60</v>
      </c>
      <c r="B175" s="8" t="s">
        <v>64</v>
      </c>
      <c r="C175" s="8" t="s">
        <v>140</v>
      </c>
      <c r="D175" s="8" t="s">
        <v>147</v>
      </c>
      <c r="E175" s="8" t="n">
        <v>2024</v>
      </c>
      <c r="F175" s="10" t="n">
        <v>10</v>
      </c>
      <c r="G175" s="8" t="s">
        <v>156</v>
      </c>
      <c r="H175" s="8" t="s">
        <v>157</v>
      </c>
    </row>
    <row r="176" customFormat="false" ht="17.15" hidden="false" customHeight="false" outlineLevel="0" collapsed="false">
      <c r="A176" s="8" t="s">
        <v>60</v>
      </c>
      <c r="B176" s="8" t="s">
        <v>64</v>
      </c>
      <c r="C176" s="8" t="s">
        <v>140</v>
      </c>
      <c r="D176" s="8" t="s">
        <v>99</v>
      </c>
      <c r="E176" s="8" t="n">
        <v>2024</v>
      </c>
      <c r="F176" s="10" t="n">
        <v>663</v>
      </c>
      <c r="G176" s="8" t="s">
        <v>156</v>
      </c>
      <c r="H176" s="8" t="s">
        <v>157</v>
      </c>
    </row>
    <row r="177" customFormat="false" ht="17.15" hidden="false" customHeight="false" outlineLevel="0" collapsed="false">
      <c r="A177" s="8" t="s">
        <v>60</v>
      </c>
      <c r="B177" s="8" t="s">
        <v>64</v>
      </c>
      <c r="C177" s="8" t="s">
        <v>140</v>
      </c>
      <c r="D177" s="8" t="s">
        <v>148</v>
      </c>
      <c r="E177" s="8" t="n">
        <v>2024</v>
      </c>
      <c r="F177" s="10" t="n">
        <v>86</v>
      </c>
      <c r="G177" s="8" t="s">
        <v>156</v>
      </c>
      <c r="H177" s="8" t="s">
        <v>157</v>
      </c>
    </row>
    <row r="178" customFormat="false" ht="17.15" hidden="false" customHeight="false" outlineLevel="0" collapsed="false">
      <c r="A178" s="8" t="s">
        <v>60</v>
      </c>
      <c r="B178" s="8" t="s">
        <v>64</v>
      </c>
      <c r="C178" s="8" t="s">
        <v>140</v>
      </c>
      <c r="D178" s="8" t="s">
        <v>149</v>
      </c>
      <c r="E178" s="8" t="n">
        <v>2024</v>
      </c>
      <c r="F178" s="10" t="n">
        <v>42</v>
      </c>
      <c r="G178" s="8" t="s">
        <v>156</v>
      </c>
      <c r="H178" s="8" t="s">
        <v>157</v>
      </c>
    </row>
    <row r="179" customFormat="false" ht="17.15" hidden="false" customHeight="false" outlineLevel="0" collapsed="false">
      <c r="A179" s="8" t="s">
        <v>60</v>
      </c>
      <c r="B179" s="8" t="s">
        <v>64</v>
      </c>
      <c r="C179" s="8" t="s">
        <v>140</v>
      </c>
      <c r="D179" s="8" t="s">
        <v>150</v>
      </c>
      <c r="E179" s="8" t="n">
        <v>2024</v>
      </c>
      <c r="F179" s="10" t="n">
        <v>69</v>
      </c>
      <c r="G179" s="8" t="s">
        <v>156</v>
      </c>
      <c r="H179" s="8" t="s">
        <v>157</v>
      </c>
    </row>
    <row r="180" customFormat="false" ht="17.15" hidden="false" customHeight="false" outlineLevel="0" collapsed="false">
      <c r="A180" s="8" t="s">
        <v>60</v>
      </c>
      <c r="B180" s="8" t="s">
        <v>64</v>
      </c>
      <c r="C180" s="8" t="s">
        <v>140</v>
      </c>
      <c r="D180" s="8" t="s">
        <v>151</v>
      </c>
      <c r="E180" s="8" t="n">
        <v>2024</v>
      </c>
      <c r="F180" s="10" t="n">
        <v>38</v>
      </c>
      <c r="G180" s="8" t="s">
        <v>156</v>
      </c>
      <c r="H180" s="8" t="s">
        <v>157</v>
      </c>
    </row>
    <row r="181" customFormat="false" ht="17.15" hidden="false" customHeight="false" outlineLevel="0" collapsed="false">
      <c r="A181" s="8" t="s">
        <v>60</v>
      </c>
      <c r="B181" s="8" t="s">
        <v>64</v>
      </c>
      <c r="C181" s="8" t="s">
        <v>140</v>
      </c>
      <c r="D181" s="8" t="s">
        <v>152</v>
      </c>
      <c r="E181" s="8" t="n">
        <v>2024</v>
      </c>
      <c r="F181" s="10" t="n">
        <v>72</v>
      </c>
      <c r="G181" s="8" t="s">
        <v>156</v>
      </c>
      <c r="H181" s="8" t="s">
        <v>157</v>
      </c>
    </row>
    <row r="182" customFormat="false" ht="17.15" hidden="false" customHeight="false" outlineLevel="0" collapsed="false">
      <c r="A182" s="8" t="s">
        <v>60</v>
      </c>
      <c r="B182" s="8" t="s">
        <v>64</v>
      </c>
      <c r="C182" s="8" t="s">
        <v>140</v>
      </c>
      <c r="D182" s="8" t="s">
        <v>153</v>
      </c>
      <c r="E182" s="8" t="n">
        <v>2024</v>
      </c>
      <c r="F182" s="10" t="n">
        <v>84</v>
      </c>
      <c r="G182" s="8" t="s">
        <v>156</v>
      </c>
      <c r="H182" s="8" t="s">
        <v>157</v>
      </c>
    </row>
    <row r="183" customFormat="false" ht="17.15" hidden="false" customHeight="false" outlineLevel="0" collapsed="false">
      <c r="A183" s="8" t="s">
        <v>60</v>
      </c>
      <c r="B183" s="8" t="s">
        <v>64</v>
      </c>
      <c r="C183" s="8" t="s">
        <v>140</v>
      </c>
      <c r="D183" s="8" t="s">
        <v>154</v>
      </c>
      <c r="E183" s="8" t="n">
        <v>2024</v>
      </c>
      <c r="F183" s="10" t="n">
        <v>264</v>
      </c>
      <c r="G183" s="8" t="s">
        <v>156</v>
      </c>
      <c r="H183" s="8" t="s">
        <v>157</v>
      </c>
    </row>
    <row r="184" customFormat="false" ht="17.15" hidden="false" customHeight="false" outlineLevel="0" collapsed="false">
      <c r="A184" s="8" t="s">
        <v>60</v>
      </c>
      <c r="B184" s="8" t="s">
        <v>64</v>
      </c>
      <c r="C184" s="8" t="s">
        <v>140</v>
      </c>
      <c r="D184" s="8" t="s">
        <v>155</v>
      </c>
      <c r="E184" s="8" t="n">
        <v>2024</v>
      </c>
      <c r="F184" s="10" t="n">
        <v>43</v>
      </c>
      <c r="G184" s="8" t="s">
        <v>156</v>
      </c>
      <c r="H184" s="8" t="s">
        <v>157</v>
      </c>
    </row>
    <row r="185" customFormat="false" ht="17.15" hidden="false" customHeight="false" outlineLevel="0" collapsed="false">
      <c r="A185" s="8" t="s">
        <v>60</v>
      </c>
      <c r="B185" s="8" t="s">
        <v>66</v>
      </c>
      <c r="C185" s="8" t="s">
        <v>136</v>
      </c>
      <c r="D185" s="8" t="s">
        <v>137</v>
      </c>
      <c r="E185" s="8" t="n">
        <v>2024</v>
      </c>
      <c r="F185" s="10" t="n">
        <v>2562</v>
      </c>
      <c r="G185" s="8" t="s">
        <v>156</v>
      </c>
      <c r="H185" s="8" t="s">
        <v>158</v>
      </c>
    </row>
    <row r="186" customFormat="false" ht="17.15" hidden="false" customHeight="false" outlineLevel="0" collapsed="false">
      <c r="A186" s="8" t="s">
        <v>60</v>
      </c>
      <c r="B186" s="8" t="s">
        <v>66</v>
      </c>
      <c r="C186" s="8" t="s">
        <v>140</v>
      </c>
      <c r="D186" s="8" t="s">
        <v>96</v>
      </c>
      <c r="E186" s="8" t="n">
        <v>2024</v>
      </c>
      <c r="F186" s="10" t="n">
        <v>510</v>
      </c>
      <c r="G186" s="8" t="s">
        <v>156</v>
      </c>
      <c r="H186" s="8" t="s">
        <v>158</v>
      </c>
    </row>
    <row r="187" customFormat="false" ht="17.15" hidden="false" customHeight="false" outlineLevel="0" collapsed="false">
      <c r="A187" s="8" t="s">
        <v>60</v>
      </c>
      <c r="B187" s="8" t="s">
        <v>66</v>
      </c>
      <c r="C187" s="8" t="s">
        <v>140</v>
      </c>
      <c r="D187" s="8" t="s">
        <v>141</v>
      </c>
      <c r="E187" s="8" t="n">
        <v>2024</v>
      </c>
      <c r="F187" s="10" t="n">
        <v>134</v>
      </c>
      <c r="G187" s="8" t="s">
        <v>156</v>
      </c>
      <c r="H187" s="8" t="s">
        <v>158</v>
      </c>
    </row>
    <row r="188" customFormat="false" ht="17.15" hidden="false" customHeight="false" outlineLevel="0" collapsed="false">
      <c r="A188" s="8" t="s">
        <v>60</v>
      </c>
      <c r="B188" s="8" t="s">
        <v>66</v>
      </c>
      <c r="C188" s="8" t="s">
        <v>140</v>
      </c>
      <c r="D188" s="8" t="s">
        <v>142</v>
      </c>
      <c r="E188" s="8" t="n">
        <v>2024</v>
      </c>
      <c r="F188" s="10" t="n">
        <v>105</v>
      </c>
      <c r="G188" s="8" t="s">
        <v>156</v>
      </c>
      <c r="H188" s="8" t="s">
        <v>158</v>
      </c>
    </row>
    <row r="189" customFormat="false" ht="17.15" hidden="false" customHeight="false" outlineLevel="0" collapsed="false">
      <c r="A189" s="8" t="s">
        <v>60</v>
      </c>
      <c r="B189" s="8" t="s">
        <v>66</v>
      </c>
      <c r="C189" s="8" t="s">
        <v>140</v>
      </c>
      <c r="D189" s="8" t="s">
        <v>143</v>
      </c>
      <c r="E189" s="8" t="n">
        <v>2024</v>
      </c>
      <c r="F189" s="10" t="n">
        <v>138</v>
      </c>
      <c r="G189" s="8" t="s">
        <v>156</v>
      </c>
      <c r="H189" s="8" t="s">
        <v>158</v>
      </c>
    </row>
    <row r="190" customFormat="false" ht="17.15" hidden="false" customHeight="false" outlineLevel="0" collapsed="false">
      <c r="A190" s="8" t="s">
        <v>60</v>
      </c>
      <c r="B190" s="8" t="s">
        <v>66</v>
      </c>
      <c r="C190" s="8" t="s">
        <v>140</v>
      </c>
      <c r="D190" s="8" t="s">
        <v>144</v>
      </c>
      <c r="E190" s="8" t="n">
        <v>2024</v>
      </c>
      <c r="F190" s="10" t="n">
        <v>68</v>
      </c>
      <c r="G190" s="8" t="s">
        <v>156</v>
      </c>
      <c r="H190" s="8" t="s">
        <v>158</v>
      </c>
    </row>
    <row r="191" customFormat="false" ht="17.15" hidden="false" customHeight="false" outlineLevel="0" collapsed="false">
      <c r="A191" s="8" t="s">
        <v>60</v>
      </c>
      <c r="B191" s="8" t="s">
        <v>66</v>
      </c>
      <c r="C191" s="8" t="s">
        <v>140</v>
      </c>
      <c r="D191" s="8" t="s">
        <v>145</v>
      </c>
      <c r="E191" s="8" t="n">
        <v>2024</v>
      </c>
      <c r="F191" s="10" t="n">
        <v>55</v>
      </c>
      <c r="G191" s="8" t="s">
        <v>156</v>
      </c>
      <c r="H191" s="8" t="s">
        <v>158</v>
      </c>
    </row>
    <row r="192" customFormat="false" ht="17.15" hidden="false" customHeight="false" outlineLevel="0" collapsed="false">
      <c r="A192" s="8" t="s">
        <v>60</v>
      </c>
      <c r="B192" s="8" t="s">
        <v>66</v>
      </c>
      <c r="C192" s="8" t="s">
        <v>140</v>
      </c>
      <c r="D192" s="8" t="s">
        <v>146</v>
      </c>
      <c r="E192" s="8" t="n">
        <v>2024</v>
      </c>
      <c r="F192" s="10" t="n">
        <v>90</v>
      </c>
      <c r="G192" s="8" t="s">
        <v>156</v>
      </c>
      <c r="H192" s="8" t="s">
        <v>158</v>
      </c>
    </row>
    <row r="193" customFormat="false" ht="17.15" hidden="false" customHeight="false" outlineLevel="0" collapsed="false">
      <c r="A193" s="8" t="s">
        <v>60</v>
      </c>
      <c r="B193" s="8" t="s">
        <v>66</v>
      </c>
      <c r="C193" s="8" t="s">
        <v>140</v>
      </c>
      <c r="D193" s="8" t="s">
        <v>147</v>
      </c>
      <c r="E193" s="8" t="n">
        <v>2024</v>
      </c>
      <c r="F193" s="10" t="n">
        <v>19</v>
      </c>
      <c r="G193" s="8" t="s">
        <v>156</v>
      </c>
      <c r="H193" s="8" t="s">
        <v>158</v>
      </c>
    </row>
    <row r="194" customFormat="false" ht="17.15" hidden="false" customHeight="false" outlineLevel="0" collapsed="false">
      <c r="A194" s="8" t="s">
        <v>60</v>
      </c>
      <c r="B194" s="8" t="s">
        <v>66</v>
      </c>
      <c r="C194" s="8" t="s">
        <v>140</v>
      </c>
      <c r="D194" s="8" t="s">
        <v>99</v>
      </c>
      <c r="E194" s="8" t="n">
        <v>2024</v>
      </c>
      <c r="F194" s="10" t="n">
        <v>642</v>
      </c>
      <c r="G194" s="8" t="s">
        <v>156</v>
      </c>
      <c r="H194" s="8" t="s">
        <v>158</v>
      </c>
    </row>
    <row r="195" customFormat="false" ht="17.15" hidden="false" customHeight="false" outlineLevel="0" collapsed="false">
      <c r="A195" s="8" t="s">
        <v>60</v>
      </c>
      <c r="B195" s="8" t="s">
        <v>66</v>
      </c>
      <c r="C195" s="8" t="s">
        <v>140</v>
      </c>
      <c r="D195" s="8" t="s">
        <v>148</v>
      </c>
      <c r="E195" s="8" t="n">
        <v>2024</v>
      </c>
      <c r="F195" s="10" t="n">
        <v>145</v>
      </c>
      <c r="G195" s="8" t="s">
        <v>156</v>
      </c>
      <c r="H195" s="8" t="s">
        <v>158</v>
      </c>
    </row>
    <row r="196" customFormat="false" ht="17.15" hidden="false" customHeight="false" outlineLevel="0" collapsed="false">
      <c r="A196" s="8" t="s">
        <v>60</v>
      </c>
      <c r="B196" s="8" t="s">
        <v>66</v>
      </c>
      <c r="C196" s="8" t="s">
        <v>140</v>
      </c>
      <c r="D196" s="8" t="s">
        <v>149</v>
      </c>
      <c r="E196" s="8" t="n">
        <v>2024</v>
      </c>
      <c r="F196" s="10" t="n">
        <v>94</v>
      </c>
      <c r="G196" s="8" t="s">
        <v>156</v>
      </c>
      <c r="H196" s="8" t="s">
        <v>158</v>
      </c>
    </row>
    <row r="197" customFormat="false" ht="17.15" hidden="false" customHeight="false" outlineLevel="0" collapsed="false">
      <c r="A197" s="8" t="s">
        <v>60</v>
      </c>
      <c r="B197" s="8" t="s">
        <v>66</v>
      </c>
      <c r="C197" s="8" t="s">
        <v>140</v>
      </c>
      <c r="D197" s="8" t="s">
        <v>150</v>
      </c>
      <c r="E197" s="8" t="n">
        <v>2024</v>
      </c>
      <c r="F197" s="10" t="n">
        <v>96</v>
      </c>
      <c r="G197" s="8" t="s">
        <v>156</v>
      </c>
      <c r="H197" s="8" t="s">
        <v>158</v>
      </c>
    </row>
    <row r="198" customFormat="false" ht="17.15" hidden="false" customHeight="false" outlineLevel="0" collapsed="false">
      <c r="A198" s="8" t="s">
        <v>60</v>
      </c>
      <c r="B198" s="8" t="s">
        <v>66</v>
      </c>
      <c r="C198" s="8" t="s">
        <v>140</v>
      </c>
      <c r="D198" s="8" t="s">
        <v>151</v>
      </c>
      <c r="E198" s="8" t="n">
        <v>2024</v>
      </c>
      <c r="F198" s="10" t="n">
        <v>92</v>
      </c>
      <c r="G198" s="8" t="s">
        <v>156</v>
      </c>
      <c r="H198" s="8" t="s">
        <v>158</v>
      </c>
    </row>
    <row r="199" customFormat="false" ht="17.15" hidden="false" customHeight="false" outlineLevel="0" collapsed="false">
      <c r="A199" s="8" t="s">
        <v>60</v>
      </c>
      <c r="B199" s="8" t="s">
        <v>66</v>
      </c>
      <c r="C199" s="8" t="s">
        <v>140</v>
      </c>
      <c r="D199" s="8" t="s">
        <v>152</v>
      </c>
      <c r="E199" s="8" t="n">
        <v>2024</v>
      </c>
      <c r="F199" s="10" t="n">
        <v>89</v>
      </c>
      <c r="G199" s="8" t="s">
        <v>156</v>
      </c>
      <c r="H199" s="8" t="s">
        <v>158</v>
      </c>
    </row>
    <row r="200" customFormat="false" ht="17.15" hidden="false" customHeight="false" outlineLevel="0" collapsed="false">
      <c r="A200" s="8" t="s">
        <v>60</v>
      </c>
      <c r="B200" s="8" t="s">
        <v>66</v>
      </c>
      <c r="C200" s="8" t="s">
        <v>140</v>
      </c>
      <c r="D200" s="8" t="s">
        <v>153</v>
      </c>
      <c r="E200" s="8" t="n">
        <v>2024</v>
      </c>
      <c r="F200" s="10" t="n">
        <v>143</v>
      </c>
      <c r="G200" s="8" t="s">
        <v>156</v>
      </c>
      <c r="H200" s="8" t="s">
        <v>158</v>
      </c>
    </row>
    <row r="201" customFormat="false" ht="17.15" hidden="false" customHeight="false" outlineLevel="0" collapsed="false">
      <c r="A201" s="8" t="s">
        <v>60</v>
      </c>
      <c r="B201" s="8" t="s">
        <v>66</v>
      </c>
      <c r="C201" s="8" t="s">
        <v>140</v>
      </c>
      <c r="D201" s="8" t="s">
        <v>154</v>
      </c>
      <c r="E201" s="8" t="n">
        <v>2024</v>
      </c>
      <c r="F201" s="10" t="n">
        <v>124</v>
      </c>
      <c r="G201" s="8" t="s">
        <v>156</v>
      </c>
      <c r="H201" s="8" t="s">
        <v>158</v>
      </c>
    </row>
    <row r="202" customFormat="false" ht="17.15" hidden="false" customHeight="false" outlineLevel="0" collapsed="false">
      <c r="A202" s="8" t="s">
        <v>60</v>
      </c>
      <c r="B202" s="8" t="s">
        <v>66</v>
      </c>
      <c r="C202" s="8" t="s">
        <v>140</v>
      </c>
      <c r="D202" s="8" t="s">
        <v>155</v>
      </c>
      <c r="E202" s="8" t="n">
        <v>2024</v>
      </c>
      <c r="F202" s="10" t="n">
        <v>18</v>
      </c>
      <c r="G202" s="8" t="s">
        <v>156</v>
      </c>
      <c r="H202" s="8" t="s">
        <v>158</v>
      </c>
    </row>
    <row r="203" customFormat="false" ht="17.15" hidden="false" customHeight="false" outlineLevel="0" collapsed="false">
      <c r="A203" s="8" t="s">
        <v>60</v>
      </c>
      <c r="B203" s="8" t="s">
        <v>68</v>
      </c>
      <c r="C203" s="8" t="s">
        <v>136</v>
      </c>
      <c r="D203" s="8" t="s">
        <v>137</v>
      </c>
      <c r="E203" s="8" t="n">
        <v>2024</v>
      </c>
      <c r="F203" s="10" t="n">
        <v>1712</v>
      </c>
      <c r="G203" s="8" t="s">
        <v>156</v>
      </c>
      <c r="H203" s="8" t="s">
        <v>159</v>
      </c>
    </row>
    <row r="204" customFormat="false" ht="17.15" hidden="false" customHeight="false" outlineLevel="0" collapsed="false">
      <c r="A204" s="8" t="s">
        <v>60</v>
      </c>
      <c r="B204" s="8" t="s">
        <v>68</v>
      </c>
      <c r="C204" s="8" t="s">
        <v>140</v>
      </c>
      <c r="D204" s="8" t="s">
        <v>96</v>
      </c>
      <c r="E204" s="8" t="n">
        <v>2024</v>
      </c>
      <c r="F204" s="10" t="n">
        <v>359</v>
      </c>
      <c r="G204" s="8" t="s">
        <v>156</v>
      </c>
      <c r="H204" s="8" t="s">
        <v>159</v>
      </c>
    </row>
    <row r="205" customFormat="false" ht="17.15" hidden="false" customHeight="false" outlineLevel="0" collapsed="false">
      <c r="A205" s="8" t="s">
        <v>60</v>
      </c>
      <c r="B205" s="8" t="s">
        <v>68</v>
      </c>
      <c r="C205" s="8" t="s">
        <v>140</v>
      </c>
      <c r="D205" s="8" t="s">
        <v>141</v>
      </c>
      <c r="E205" s="8" t="n">
        <v>2024</v>
      </c>
      <c r="F205" s="10" t="n">
        <v>34</v>
      </c>
      <c r="G205" s="8" t="s">
        <v>156</v>
      </c>
      <c r="H205" s="8" t="s">
        <v>159</v>
      </c>
    </row>
    <row r="206" customFormat="false" ht="17.15" hidden="false" customHeight="false" outlineLevel="0" collapsed="false">
      <c r="A206" s="8" t="s">
        <v>60</v>
      </c>
      <c r="B206" s="8" t="s">
        <v>68</v>
      </c>
      <c r="C206" s="8" t="s">
        <v>140</v>
      </c>
      <c r="D206" s="8" t="s">
        <v>142</v>
      </c>
      <c r="E206" s="8" t="n">
        <v>2024</v>
      </c>
      <c r="F206" s="10" t="n">
        <v>79</v>
      </c>
      <c r="G206" s="8" t="s">
        <v>156</v>
      </c>
      <c r="H206" s="8" t="s">
        <v>159</v>
      </c>
    </row>
    <row r="207" customFormat="false" ht="17.15" hidden="false" customHeight="false" outlineLevel="0" collapsed="false">
      <c r="A207" s="8" t="s">
        <v>60</v>
      </c>
      <c r="B207" s="8" t="s">
        <v>68</v>
      </c>
      <c r="C207" s="8" t="s">
        <v>140</v>
      </c>
      <c r="D207" s="8" t="s">
        <v>143</v>
      </c>
      <c r="E207" s="8" t="n">
        <v>2024</v>
      </c>
      <c r="F207" s="10" t="n">
        <v>143</v>
      </c>
      <c r="G207" s="8" t="s">
        <v>156</v>
      </c>
      <c r="H207" s="8" t="s">
        <v>159</v>
      </c>
    </row>
    <row r="208" customFormat="false" ht="17.15" hidden="false" customHeight="false" outlineLevel="0" collapsed="false">
      <c r="A208" s="8" t="s">
        <v>60</v>
      </c>
      <c r="B208" s="8" t="s">
        <v>68</v>
      </c>
      <c r="C208" s="8" t="s">
        <v>140</v>
      </c>
      <c r="D208" s="8" t="s">
        <v>144</v>
      </c>
      <c r="E208" s="8" t="n">
        <v>2024</v>
      </c>
      <c r="F208" s="10" t="n">
        <v>23</v>
      </c>
      <c r="G208" s="8" t="s">
        <v>156</v>
      </c>
      <c r="H208" s="8" t="s">
        <v>159</v>
      </c>
    </row>
    <row r="209" customFormat="false" ht="17.15" hidden="false" customHeight="false" outlineLevel="0" collapsed="false">
      <c r="A209" s="8" t="s">
        <v>60</v>
      </c>
      <c r="B209" s="8" t="s">
        <v>68</v>
      </c>
      <c r="C209" s="8" t="s">
        <v>140</v>
      </c>
      <c r="D209" s="8" t="s">
        <v>145</v>
      </c>
      <c r="E209" s="8" t="n">
        <v>2024</v>
      </c>
      <c r="F209" s="10" t="n">
        <v>112</v>
      </c>
      <c r="G209" s="8" t="s">
        <v>156</v>
      </c>
      <c r="H209" s="8" t="s">
        <v>159</v>
      </c>
    </row>
    <row r="210" customFormat="false" ht="17.15" hidden="false" customHeight="false" outlineLevel="0" collapsed="false">
      <c r="A210" s="8" t="s">
        <v>60</v>
      </c>
      <c r="B210" s="8" t="s">
        <v>68</v>
      </c>
      <c r="C210" s="8" t="s">
        <v>140</v>
      </c>
      <c r="D210" s="8" t="s">
        <v>146</v>
      </c>
      <c r="E210" s="8" t="n">
        <v>2024</v>
      </c>
      <c r="F210" s="10" t="n">
        <v>10</v>
      </c>
      <c r="G210" s="8" t="s">
        <v>156</v>
      </c>
      <c r="H210" s="8" t="s">
        <v>159</v>
      </c>
    </row>
    <row r="211" customFormat="false" ht="17.15" hidden="false" customHeight="false" outlineLevel="0" collapsed="false">
      <c r="A211" s="8" t="s">
        <v>60</v>
      </c>
      <c r="B211" s="8" t="s">
        <v>68</v>
      </c>
      <c r="C211" s="8" t="s">
        <v>140</v>
      </c>
      <c r="D211" s="8" t="s">
        <v>147</v>
      </c>
      <c r="E211" s="8" t="n">
        <v>2024</v>
      </c>
      <c r="F211" s="10" t="n">
        <v>27</v>
      </c>
      <c r="G211" s="8" t="s">
        <v>156</v>
      </c>
      <c r="H211" s="8" t="s">
        <v>159</v>
      </c>
    </row>
    <row r="212" customFormat="false" ht="17.15" hidden="false" customHeight="false" outlineLevel="0" collapsed="false">
      <c r="A212" s="8" t="s">
        <v>60</v>
      </c>
      <c r="B212" s="8" t="s">
        <v>68</v>
      </c>
      <c r="C212" s="8" t="s">
        <v>140</v>
      </c>
      <c r="D212" s="8" t="s">
        <v>99</v>
      </c>
      <c r="E212" s="8" t="n">
        <v>2024</v>
      </c>
      <c r="F212" s="10" t="n">
        <v>440</v>
      </c>
      <c r="G212" s="8" t="s">
        <v>156</v>
      </c>
      <c r="H212" s="8" t="s">
        <v>159</v>
      </c>
    </row>
    <row r="213" customFormat="false" ht="17.15" hidden="false" customHeight="false" outlineLevel="0" collapsed="false">
      <c r="A213" s="8" t="s">
        <v>60</v>
      </c>
      <c r="B213" s="8" t="s">
        <v>68</v>
      </c>
      <c r="C213" s="8" t="s">
        <v>140</v>
      </c>
      <c r="D213" s="8" t="s">
        <v>148</v>
      </c>
      <c r="E213" s="8" t="n">
        <v>2024</v>
      </c>
      <c r="F213" s="10" t="n">
        <v>51</v>
      </c>
      <c r="G213" s="8" t="s">
        <v>156</v>
      </c>
      <c r="H213" s="8" t="s">
        <v>159</v>
      </c>
    </row>
    <row r="214" customFormat="false" ht="17.15" hidden="false" customHeight="false" outlineLevel="0" collapsed="false">
      <c r="A214" s="8" t="s">
        <v>60</v>
      </c>
      <c r="B214" s="8" t="s">
        <v>68</v>
      </c>
      <c r="C214" s="8" t="s">
        <v>140</v>
      </c>
      <c r="D214" s="8" t="s">
        <v>149</v>
      </c>
      <c r="E214" s="8" t="n">
        <v>2024</v>
      </c>
      <c r="F214" s="10" t="n">
        <v>50</v>
      </c>
      <c r="G214" s="8" t="s">
        <v>156</v>
      </c>
      <c r="H214" s="8" t="s">
        <v>159</v>
      </c>
    </row>
    <row r="215" customFormat="false" ht="17.15" hidden="false" customHeight="false" outlineLevel="0" collapsed="false">
      <c r="A215" s="8" t="s">
        <v>60</v>
      </c>
      <c r="B215" s="8" t="s">
        <v>68</v>
      </c>
      <c r="C215" s="8" t="s">
        <v>140</v>
      </c>
      <c r="D215" s="8" t="s">
        <v>150</v>
      </c>
      <c r="E215" s="8" t="n">
        <v>2024</v>
      </c>
      <c r="F215" s="10" t="n">
        <v>93</v>
      </c>
      <c r="G215" s="8" t="s">
        <v>156</v>
      </c>
      <c r="H215" s="8" t="s">
        <v>159</v>
      </c>
    </row>
    <row r="216" customFormat="false" ht="17.15" hidden="false" customHeight="false" outlineLevel="0" collapsed="false">
      <c r="A216" s="8" t="s">
        <v>60</v>
      </c>
      <c r="B216" s="8" t="s">
        <v>68</v>
      </c>
      <c r="C216" s="8" t="s">
        <v>140</v>
      </c>
      <c r="D216" s="8" t="s">
        <v>151</v>
      </c>
      <c r="E216" s="8" t="n">
        <v>2024</v>
      </c>
      <c r="F216" s="10" t="n">
        <v>88</v>
      </c>
      <c r="G216" s="8" t="s">
        <v>156</v>
      </c>
      <c r="H216" s="8" t="s">
        <v>159</v>
      </c>
    </row>
    <row r="217" customFormat="false" ht="17.15" hidden="false" customHeight="false" outlineLevel="0" collapsed="false">
      <c r="A217" s="8" t="s">
        <v>60</v>
      </c>
      <c r="B217" s="8" t="s">
        <v>68</v>
      </c>
      <c r="C217" s="8" t="s">
        <v>140</v>
      </c>
      <c r="D217" s="8" t="s">
        <v>152</v>
      </c>
      <c r="E217" s="8" t="n">
        <v>2024</v>
      </c>
      <c r="F217" s="10" t="n">
        <v>61</v>
      </c>
      <c r="G217" s="8" t="s">
        <v>156</v>
      </c>
      <c r="H217" s="8" t="s">
        <v>159</v>
      </c>
    </row>
    <row r="218" customFormat="false" ht="17.15" hidden="false" customHeight="false" outlineLevel="0" collapsed="false">
      <c r="A218" s="8" t="s">
        <v>60</v>
      </c>
      <c r="B218" s="8" t="s">
        <v>68</v>
      </c>
      <c r="C218" s="8" t="s">
        <v>140</v>
      </c>
      <c r="D218" s="8" t="s">
        <v>153</v>
      </c>
      <c r="E218" s="8" t="n">
        <v>2024</v>
      </c>
      <c r="F218" s="10" t="n">
        <v>44</v>
      </c>
      <c r="G218" s="8" t="s">
        <v>156</v>
      </c>
      <c r="H218" s="8" t="s">
        <v>159</v>
      </c>
    </row>
    <row r="219" customFormat="false" ht="17.15" hidden="false" customHeight="false" outlineLevel="0" collapsed="false">
      <c r="A219" s="8" t="s">
        <v>60</v>
      </c>
      <c r="B219" s="8" t="s">
        <v>68</v>
      </c>
      <c r="C219" s="8" t="s">
        <v>140</v>
      </c>
      <c r="D219" s="8" t="s">
        <v>154</v>
      </c>
      <c r="E219" s="8" t="n">
        <v>2024</v>
      </c>
      <c r="F219" s="10" t="n">
        <v>52</v>
      </c>
      <c r="G219" s="8" t="s">
        <v>156</v>
      </c>
      <c r="H219" s="8" t="s">
        <v>159</v>
      </c>
    </row>
    <row r="220" customFormat="false" ht="17.15" hidden="false" customHeight="false" outlineLevel="0" collapsed="false">
      <c r="A220" s="8" t="s">
        <v>60</v>
      </c>
      <c r="B220" s="8" t="s">
        <v>68</v>
      </c>
      <c r="C220" s="8" t="s">
        <v>140</v>
      </c>
      <c r="D220" s="8" t="s">
        <v>155</v>
      </c>
      <c r="E220" s="8" t="n">
        <v>2024</v>
      </c>
      <c r="F220" s="10" t="n">
        <v>46</v>
      </c>
      <c r="G220" s="8" t="s">
        <v>156</v>
      </c>
      <c r="H220" s="8" t="s">
        <v>159</v>
      </c>
    </row>
    <row r="221" customFormat="false" ht="17.15" hidden="false" customHeight="false" outlineLevel="0" collapsed="false">
      <c r="A221" s="8" t="s">
        <v>60</v>
      </c>
      <c r="B221" s="8" t="s">
        <v>70</v>
      </c>
      <c r="C221" s="8" t="s">
        <v>136</v>
      </c>
      <c r="D221" s="8" t="s">
        <v>137</v>
      </c>
      <c r="E221" s="8" t="n">
        <v>2024</v>
      </c>
      <c r="F221" s="10" t="n">
        <v>1510</v>
      </c>
      <c r="G221" s="8" t="s">
        <v>156</v>
      </c>
      <c r="H221" s="8" t="s">
        <v>160</v>
      </c>
    </row>
    <row r="222" customFormat="false" ht="17.15" hidden="false" customHeight="false" outlineLevel="0" collapsed="false">
      <c r="A222" s="8" t="s">
        <v>60</v>
      </c>
      <c r="B222" s="8" t="s">
        <v>70</v>
      </c>
      <c r="C222" s="8" t="s">
        <v>140</v>
      </c>
      <c r="D222" s="8" t="s">
        <v>96</v>
      </c>
      <c r="E222" s="8" t="n">
        <v>2024</v>
      </c>
      <c r="F222" s="10" t="n">
        <v>279</v>
      </c>
      <c r="G222" s="8" t="s">
        <v>156</v>
      </c>
      <c r="H222" s="8" t="s">
        <v>160</v>
      </c>
    </row>
    <row r="223" customFormat="false" ht="17.15" hidden="false" customHeight="false" outlineLevel="0" collapsed="false">
      <c r="A223" s="8" t="s">
        <v>60</v>
      </c>
      <c r="B223" s="8" t="s">
        <v>70</v>
      </c>
      <c r="C223" s="8" t="s">
        <v>140</v>
      </c>
      <c r="D223" s="8" t="s">
        <v>141</v>
      </c>
      <c r="E223" s="8" t="n">
        <v>2024</v>
      </c>
      <c r="F223" s="10" t="n">
        <v>78</v>
      </c>
      <c r="G223" s="8" t="s">
        <v>156</v>
      </c>
      <c r="H223" s="8" t="s">
        <v>160</v>
      </c>
    </row>
    <row r="224" customFormat="false" ht="17.15" hidden="false" customHeight="false" outlineLevel="0" collapsed="false">
      <c r="A224" s="8" t="s">
        <v>60</v>
      </c>
      <c r="B224" s="8" t="s">
        <v>70</v>
      </c>
      <c r="C224" s="8" t="s">
        <v>140</v>
      </c>
      <c r="D224" s="8" t="s">
        <v>142</v>
      </c>
      <c r="E224" s="8" t="n">
        <v>2024</v>
      </c>
      <c r="F224" s="10" t="n">
        <v>97</v>
      </c>
      <c r="G224" s="8" t="s">
        <v>156</v>
      </c>
      <c r="H224" s="8" t="s">
        <v>160</v>
      </c>
    </row>
    <row r="225" customFormat="false" ht="17.15" hidden="false" customHeight="false" outlineLevel="0" collapsed="false">
      <c r="A225" s="8" t="s">
        <v>60</v>
      </c>
      <c r="B225" s="8" t="s">
        <v>70</v>
      </c>
      <c r="C225" s="8" t="s">
        <v>140</v>
      </c>
      <c r="D225" s="8" t="s">
        <v>143</v>
      </c>
      <c r="E225" s="8" t="n">
        <v>2024</v>
      </c>
      <c r="F225" s="10" t="n">
        <v>96</v>
      </c>
      <c r="G225" s="8" t="s">
        <v>156</v>
      </c>
      <c r="H225" s="8" t="s">
        <v>160</v>
      </c>
    </row>
    <row r="226" customFormat="false" ht="17.15" hidden="false" customHeight="false" outlineLevel="0" collapsed="false">
      <c r="A226" s="8" t="s">
        <v>60</v>
      </c>
      <c r="B226" s="8" t="s">
        <v>70</v>
      </c>
      <c r="C226" s="8" t="s">
        <v>140</v>
      </c>
      <c r="D226" s="8" t="s">
        <v>144</v>
      </c>
      <c r="E226" s="8" t="n">
        <v>2024</v>
      </c>
      <c r="F226" s="10" t="n">
        <v>49</v>
      </c>
      <c r="G226" s="8" t="s">
        <v>156</v>
      </c>
      <c r="H226" s="8" t="s">
        <v>160</v>
      </c>
    </row>
    <row r="227" customFormat="false" ht="17.15" hidden="false" customHeight="false" outlineLevel="0" collapsed="false">
      <c r="A227" s="8" t="s">
        <v>60</v>
      </c>
      <c r="B227" s="8" t="s">
        <v>70</v>
      </c>
      <c r="C227" s="8" t="s">
        <v>140</v>
      </c>
      <c r="D227" s="8" t="s">
        <v>145</v>
      </c>
      <c r="E227" s="8" t="n">
        <v>2024</v>
      </c>
      <c r="F227" s="10" t="n">
        <v>67</v>
      </c>
      <c r="G227" s="8" t="s">
        <v>156</v>
      </c>
      <c r="H227" s="8" t="s">
        <v>160</v>
      </c>
    </row>
    <row r="228" customFormat="false" ht="17.15" hidden="false" customHeight="false" outlineLevel="0" collapsed="false">
      <c r="A228" s="8" t="s">
        <v>60</v>
      </c>
      <c r="B228" s="8" t="s">
        <v>70</v>
      </c>
      <c r="C228" s="8" t="s">
        <v>140</v>
      </c>
      <c r="D228" s="8" t="s">
        <v>146</v>
      </c>
      <c r="E228" s="8" t="n">
        <v>2024</v>
      </c>
      <c r="F228" s="10" t="n">
        <v>33</v>
      </c>
      <c r="G228" s="8" t="s">
        <v>156</v>
      </c>
      <c r="H228" s="8" t="s">
        <v>160</v>
      </c>
    </row>
    <row r="229" customFormat="false" ht="17.15" hidden="false" customHeight="false" outlineLevel="0" collapsed="false">
      <c r="A229" s="8" t="s">
        <v>60</v>
      </c>
      <c r="B229" s="8" t="s">
        <v>70</v>
      </c>
      <c r="C229" s="8" t="s">
        <v>140</v>
      </c>
      <c r="D229" s="8" t="s">
        <v>147</v>
      </c>
      <c r="E229" s="8" t="n">
        <v>2024</v>
      </c>
      <c r="F229" s="10" t="n">
        <v>15</v>
      </c>
      <c r="G229" s="8" t="s">
        <v>156</v>
      </c>
      <c r="H229" s="8" t="s">
        <v>160</v>
      </c>
    </row>
    <row r="230" customFormat="false" ht="17.15" hidden="false" customHeight="false" outlineLevel="0" collapsed="false">
      <c r="A230" s="8" t="s">
        <v>60</v>
      </c>
      <c r="B230" s="8" t="s">
        <v>70</v>
      </c>
      <c r="C230" s="8" t="s">
        <v>140</v>
      </c>
      <c r="D230" s="8" t="s">
        <v>99</v>
      </c>
      <c r="E230" s="8" t="n">
        <v>2024</v>
      </c>
      <c r="F230" s="10" t="n">
        <v>376</v>
      </c>
      <c r="G230" s="8" t="s">
        <v>156</v>
      </c>
      <c r="H230" s="8" t="s">
        <v>160</v>
      </c>
    </row>
    <row r="231" customFormat="false" ht="17.15" hidden="false" customHeight="false" outlineLevel="0" collapsed="false">
      <c r="A231" s="8" t="s">
        <v>60</v>
      </c>
      <c r="B231" s="8" t="s">
        <v>70</v>
      </c>
      <c r="C231" s="8" t="s">
        <v>140</v>
      </c>
      <c r="D231" s="8" t="s">
        <v>148</v>
      </c>
      <c r="E231" s="8" t="n">
        <v>2024</v>
      </c>
      <c r="F231" s="10" t="n">
        <v>62</v>
      </c>
      <c r="G231" s="8" t="s">
        <v>156</v>
      </c>
      <c r="H231" s="8" t="s">
        <v>160</v>
      </c>
    </row>
    <row r="232" customFormat="false" ht="17.15" hidden="false" customHeight="false" outlineLevel="0" collapsed="false">
      <c r="A232" s="8" t="s">
        <v>60</v>
      </c>
      <c r="B232" s="8" t="s">
        <v>70</v>
      </c>
      <c r="C232" s="8" t="s">
        <v>140</v>
      </c>
      <c r="D232" s="8" t="s">
        <v>149</v>
      </c>
      <c r="E232" s="8" t="n">
        <v>2024</v>
      </c>
      <c r="F232" s="10" t="n">
        <v>51</v>
      </c>
      <c r="G232" s="8" t="s">
        <v>156</v>
      </c>
      <c r="H232" s="8" t="s">
        <v>160</v>
      </c>
    </row>
    <row r="233" customFormat="false" ht="17.15" hidden="false" customHeight="false" outlineLevel="0" collapsed="false">
      <c r="A233" s="8" t="s">
        <v>60</v>
      </c>
      <c r="B233" s="8" t="s">
        <v>70</v>
      </c>
      <c r="C233" s="8" t="s">
        <v>140</v>
      </c>
      <c r="D233" s="8" t="s">
        <v>150</v>
      </c>
      <c r="E233" s="8" t="n">
        <v>2024</v>
      </c>
      <c r="F233" s="10" t="n">
        <v>59</v>
      </c>
      <c r="G233" s="8" t="s">
        <v>156</v>
      </c>
      <c r="H233" s="8" t="s">
        <v>160</v>
      </c>
    </row>
    <row r="234" customFormat="false" ht="17.15" hidden="false" customHeight="false" outlineLevel="0" collapsed="false">
      <c r="A234" s="8" t="s">
        <v>60</v>
      </c>
      <c r="B234" s="8" t="s">
        <v>70</v>
      </c>
      <c r="C234" s="8" t="s">
        <v>140</v>
      </c>
      <c r="D234" s="8" t="s">
        <v>151</v>
      </c>
      <c r="E234" s="8" t="n">
        <v>2024</v>
      </c>
      <c r="F234" s="10" t="n">
        <v>44</v>
      </c>
      <c r="G234" s="8" t="s">
        <v>156</v>
      </c>
      <c r="H234" s="8" t="s">
        <v>160</v>
      </c>
    </row>
    <row r="235" customFormat="false" ht="17.15" hidden="false" customHeight="false" outlineLevel="0" collapsed="false">
      <c r="A235" s="8" t="s">
        <v>60</v>
      </c>
      <c r="B235" s="8" t="s">
        <v>70</v>
      </c>
      <c r="C235" s="8" t="s">
        <v>140</v>
      </c>
      <c r="D235" s="8" t="s">
        <v>152</v>
      </c>
      <c r="E235" s="8" t="n">
        <v>2024</v>
      </c>
      <c r="F235" s="10" t="n">
        <v>47</v>
      </c>
      <c r="G235" s="8" t="s">
        <v>156</v>
      </c>
      <c r="H235" s="8" t="s">
        <v>160</v>
      </c>
    </row>
    <row r="236" customFormat="false" ht="17.15" hidden="false" customHeight="false" outlineLevel="0" collapsed="false">
      <c r="A236" s="8" t="s">
        <v>60</v>
      </c>
      <c r="B236" s="8" t="s">
        <v>70</v>
      </c>
      <c r="C236" s="8" t="s">
        <v>140</v>
      </c>
      <c r="D236" s="8" t="s">
        <v>153</v>
      </c>
      <c r="E236" s="8" t="n">
        <v>2024</v>
      </c>
      <c r="F236" s="10" t="n">
        <v>76</v>
      </c>
      <c r="G236" s="8" t="s">
        <v>156</v>
      </c>
      <c r="H236" s="8" t="s">
        <v>160</v>
      </c>
    </row>
    <row r="237" customFormat="false" ht="17.15" hidden="false" customHeight="false" outlineLevel="0" collapsed="false">
      <c r="A237" s="8" t="s">
        <v>60</v>
      </c>
      <c r="B237" s="8" t="s">
        <v>70</v>
      </c>
      <c r="C237" s="8" t="s">
        <v>140</v>
      </c>
      <c r="D237" s="8" t="s">
        <v>154</v>
      </c>
      <c r="E237" s="8" t="n">
        <v>2024</v>
      </c>
      <c r="F237" s="10" t="n">
        <v>61</v>
      </c>
      <c r="G237" s="8" t="s">
        <v>156</v>
      </c>
      <c r="H237" s="8" t="s">
        <v>160</v>
      </c>
    </row>
    <row r="238" customFormat="false" ht="17.15" hidden="false" customHeight="false" outlineLevel="0" collapsed="false">
      <c r="A238" s="8" t="s">
        <v>60</v>
      </c>
      <c r="B238" s="8" t="s">
        <v>70</v>
      </c>
      <c r="C238" s="8" t="s">
        <v>140</v>
      </c>
      <c r="D238" s="8" t="s">
        <v>155</v>
      </c>
      <c r="E238" s="8" t="n">
        <v>2024</v>
      </c>
      <c r="F238" s="10" t="n">
        <v>20</v>
      </c>
      <c r="G238" s="8" t="s">
        <v>156</v>
      </c>
      <c r="H238" s="8" t="s">
        <v>160</v>
      </c>
    </row>
    <row r="239" customFormat="false" ht="17.15" hidden="false" customHeight="false" outlineLevel="0" collapsed="false">
      <c r="A239" s="8" t="s">
        <v>72</v>
      </c>
      <c r="B239" s="9" t="s">
        <v>73</v>
      </c>
      <c r="C239" s="8" t="s">
        <v>96</v>
      </c>
      <c r="D239" s="8" t="s">
        <v>104</v>
      </c>
      <c r="E239" s="8"/>
      <c r="F239" s="10" t="n">
        <v>208</v>
      </c>
      <c r="G239" s="8" t="s">
        <v>105</v>
      </c>
      <c r="H239" s="8" t="s">
        <v>161</v>
      </c>
    </row>
    <row r="240" customFormat="false" ht="17.15" hidden="false" customHeight="false" outlineLevel="0" collapsed="false">
      <c r="A240" s="8" t="s">
        <v>72</v>
      </c>
      <c r="B240" s="9" t="s">
        <v>73</v>
      </c>
      <c r="C240" s="8" t="s">
        <v>96</v>
      </c>
      <c r="D240" s="8" t="s">
        <v>107</v>
      </c>
      <c r="E240" s="8"/>
      <c r="F240" s="10" t="n">
        <v>122</v>
      </c>
      <c r="G240" s="8" t="s">
        <v>105</v>
      </c>
      <c r="H240" s="8" t="s">
        <v>161</v>
      </c>
    </row>
    <row r="241" customFormat="false" ht="17.15" hidden="false" customHeight="false" outlineLevel="0" collapsed="false">
      <c r="A241" s="8" t="s">
        <v>72</v>
      </c>
      <c r="B241" s="9" t="s">
        <v>73</v>
      </c>
      <c r="C241" s="8" t="s">
        <v>96</v>
      </c>
      <c r="D241" s="8" t="s">
        <v>108</v>
      </c>
      <c r="E241" s="8"/>
      <c r="F241" s="10" t="n">
        <v>83</v>
      </c>
      <c r="G241" s="8" t="s">
        <v>105</v>
      </c>
      <c r="H241" s="8" t="s">
        <v>161</v>
      </c>
    </row>
    <row r="242" customFormat="false" ht="17.15" hidden="false" customHeight="false" outlineLevel="0" collapsed="false">
      <c r="A242" s="8" t="s">
        <v>72</v>
      </c>
      <c r="B242" s="9" t="s">
        <v>73</v>
      </c>
      <c r="C242" s="8" t="s">
        <v>96</v>
      </c>
      <c r="D242" s="8" t="s">
        <v>109</v>
      </c>
      <c r="E242" s="8"/>
      <c r="F242" s="10" t="n">
        <v>174</v>
      </c>
      <c r="G242" s="8" t="s">
        <v>105</v>
      </c>
      <c r="H242" s="8" t="s">
        <v>161</v>
      </c>
    </row>
    <row r="243" customFormat="false" ht="17.15" hidden="false" customHeight="false" outlineLevel="0" collapsed="false">
      <c r="A243" s="8" t="s">
        <v>72</v>
      </c>
      <c r="B243" s="9" t="s">
        <v>73</v>
      </c>
      <c r="C243" s="8" t="s">
        <v>96</v>
      </c>
      <c r="D243" s="8" t="s">
        <v>110</v>
      </c>
      <c r="E243" s="8"/>
      <c r="F243" s="10" t="n">
        <v>138</v>
      </c>
      <c r="G243" s="8" t="s">
        <v>105</v>
      </c>
      <c r="H243" s="8" t="s">
        <v>161</v>
      </c>
    </row>
    <row r="244" customFormat="false" ht="17.15" hidden="false" customHeight="false" outlineLevel="0" collapsed="false">
      <c r="A244" s="8" t="s">
        <v>72</v>
      </c>
      <c r="B244" s="9" t="s">
        <v>73</v>
      </c>
      <c r="C244" s="8" t="s">
        <v>96</v>
      </c>
      <c r="D244" s="8" t="s">
        <v>111</v>
      </c>
      <c r="E244" s="8"/>
      <c r="F244" s="10" t="n">
        <v>114</v>
      </c>
      <c r="G244" s="8" t="s">
        <v>105</v>
      </c>
      <c r="H244" s="8" t="s">
        <v>161</v>
      </c>
    </row>
    <row r="245" customFormat="false" ht="17.15" hidden="false" customHeight="false" outlineLevel="0" collapsed="false">
      <c r="A245" s="8" t="s">
        <v>72</v>
      </c>
      <c r="B245" s="9" t="s">
        <v>73</v>
      </c>
      <c r="C245" s="8" t="s">
        <v>96</v>
      </c>
      <c r="D245" s="8" t="s">
        <v>112</v>
      </c>
      <c r="E245" s="8"/>
      <c r="F245" s="10" t="n">
        <v>110</v>
      </c>
      <c r="G245" s="8" t="s">
        <v>105</v>
      </c>
      <c r="H245" s="8" t="s">
        <v>161</v>
      </c>
    </row>
    <row r="246" customFormat="false" ht="17.15" hidden="false" customHeight="false" outlineLevel="0" collapsed="false">
      <c r="A246" s="8" t="s">
        <v>72</v>
      </c>
      <c r="B246" s="9" t="s">
        <v>73</v>
      </c>
      <c r="C246" s="8" t="s">
        <v>96</v>
      </c>
      <c r="D246" s="8" t="s">
        <v>113</v>
      </c>
      <c r="E246" s="8"/>
      <c r="F246" s="10" t="n">
        <v>104</v>
      </c>
      <c r="G246" s="8" t="s">
        <v>105</v>
      </c>
      <c r="H246" s="8" t="s">
        <v>161</v>
      </c>
    </row>
    <row r="247" customFormat="false" ht="17.15" hidden="false" customHeight="false" outlineLevel="0" collapsed="false">
      <c r="A247" s="8" t="s">
        <v>72</v>
      </c>
      <c r="B247" s="9" t="s">
        <v>73</v>
      </c>
      <c r="C247" s="8" t="s">
        <v>96</v>
      </c>
      <c r="D247" s="8" t="s">
        <v>114</v>
      </c>
      <c r="E247" s="8"/>
      <c r="F247" s="10" t="n">
        <v>99</v>
      </c>
      <c r="G247" s="8" t="s">
        <v>105</v>
      </c>
      <c r="H247" s="8" t="s">
        <v>161</v>
      </c>
    </row>
    <row r="248" customFormat="false" ht="17.15" hidden="false" customHeight="false" outlineLevel="0" collapsed="false">
      <c r="A248" s="8" t="s">
        <v>72</v>
      </c>
      <c r="B248" s="9" t="s">
        <v>73</v>
      </c>
      <c r="C248" s="8" t="s">
        <v>96</v>
      </c>
      <c r="D248" s="8" t="s">
        <v>115</v>
      </c>
      <c r="E248" s="8"/>
      <c r="F248" s="10" t="n">
        <v>78</v>
      </c>
      <c r="G248" s="8" t="s">
        <v>105</v>
      </c>
      <c r="H248" s="8" t="s">
        <v>161</v>
      </c>
    </row>
    <row r="249" customFormat="false" ht="17.15" hidden="false" customHeight="false" outlineLevel="0" collapsed="false">
      <c r="A249" s="8" t="s">
        <v>72</v>
      </c>
      <c r="B249" s="9" t="s">
        <v>73</v>
      </c>
      <c r="C249" s="8" t="s">
        <v>96</v>
      </c>
      <c r="D249" s="8" t="s">
        <v>116</v>
      </c>
      <c r="E249" s="8"/>
      <c r="F249" s="10" t="n">
        <v>113</v>
      </c>
      <c r="G249" s="8" t="s">
        <v>105</v>
      </c>
      <c r="H249" s="8" t="s">
        <v>161</v>
      </c>
    </row>
    <row r="250" customFormat="false" ht="17.15" hidden="false" customHeight="false" outlineLevel="0" collapsed="false">
      <c r="A250" s="8" t="s">
        <v>72</v>
      </c>
      <c r="B250" s="9" t="s">
        <v>73</v>
      </c>
      <c r="C250" s="8" t="s">
        <v>96</v>
      </c>
      <c r="D250" s="8" t="s">
        <v>117</v>
      </c>
      <c r="E250" s="8"/>
      <c r="F250" s="10" t="n">
        <v>93</v>
      </c>
      <c r="G250" s="8" t="s">
        <v>105</v>
      </c>
      <c r="H250" s="8" t="s">
        <v>161</v>
      </c>
    </row>
    <row r="251" customFormat="false" ht="17.15" hidden="false" customHeight="false" outlineLevel="0" collapsed="false">
      <c r="A251" s="8" t="s">
        <v>72</v>
      </c>
      <c r="B251" s="9" t="s">
        <v>73</v>
      </c>
      <c r="C251" s="8" t="s">
        <v>96</v>
      </c>
      <c r="D251" s="8" t="s">
        <v>118</v>
      </c>
      <c r="E251" s="8"/>
      <c r="F251" s="10" t="n">
        <v>150</v>
      </c>
      <c r="G251" s="8" t="s">
        <v>105</v>
      </c>
      <c r="H251" s="8" t="s">
        <v>161</v>
      </c>
    </row>
    <row r="252" customFormat="false" ht="17.15" hidden="false" customHeight="false" outlineLevel="0" collapsed="false">
      <c r="A252" s="8" t="s">
        <v>72</v>
      </c>
      <c r="B252" s="9" t="s">
        <v>73</v>
      </c>
      <c r="C252" s="8" t="s">
        <v>96</v>
      </c>
      <c r="D252" s="8" t="s">
        <v>119</v>
      </c>
      <c r="E252" s="8"/>
      <c r="F252" s="10" t="n">
        <v>112</v>
      </c>
      <c r="G252" s="8" t="s">
        <v>105</v>
      </c>
      <c r="H252" s="8" t="s">
        <v>161</v>
      </c>
    </row>
    <row r="253" customFormat="false" ht="17.15" hidden="false" customHeight="false" outlineLevel="0" collapsed="false">
      <c r="A253" s="8" t="s">
        <v>72</v>
      </c>
      <c r="B253" s="9" t="s">
        <v>73</v>
      </c>
      <c r="C253" s="8" t="s">
        <v>96</v>
      </c>
      <c r="D253" s="8" t="s">
        <v>120</v>
      </c>
      <c r="E253" s="8"/>
      <c r="F253" s="10" t="n">
        <v>137</v>
      </c>
      <c r="G253" s="8" t="s">
        <v>105</v>
      </c>
      <c r="H253" s="8" t="s">
        <v>161</v>
      </c>
    </row>
    <row r="254" customFormat="false" ht="17.15" hidden="false" customHeight="false" outlineLevel="0" collapsed="false">
      <c r="A254" s="8" t="s">
        <v>72</v>
      </c>
      <c r="B254" s="9" t="s">
        <v>73</v>
      </c>
      <c r="C254" s="8" t="s">
        <v>96</v>
      </c>
      <c r="D254" s="8" t="s">
        <v>121</v>
      </c>
      <c r="E254" s="8"/>
      <c r="F254" s="10" t="n">
        <v>104</v>
      </c>
      <c r="G254" s="8" t="s">
        <v>105</v>
      </c>
      <c r="H254" s="8" t="s">
        <v>161</v>
      </c>
    </row>
    <row r="255" customFormat="false" ht="17.15" hidden="false" customHeight="false" outlineLevel="0" collapsed="false">
      <c r="A255" s="8" t="s">
        <v>72</v>
      </c>
      <c r="B255" s="9" t="s">
        <v>73</v>
      </c>
      <c r="C255" s="8" t="s">
        <v>96</v>
      </c>
      <c r="D255" s="8" t="s">
        <v>122</v>
      </c>
      <c r="E255" s="8"/>
      <c r="F255" s="10" t="n">
        <v>103</v>
      </c>
      <c r="G255" s="8" t="s">
        <v>105</v>
      </c>
      <c r="H255" s="8" t="s">
        <v>161</v>
      </c>
    </row>
    <row r="256" customFormat="false" ht="17.15" hidden="false" customHeight="false" outlineLevel="0" collapsed="false">
      <c r="A256" s="8" t="s">
        <v>72</v>
      </c>
      <c r="B256" s="9" t="s">
        <v>73</v>
      </c>
      <c r="C256" s="8" t="s">
        <v>96</v>
      </c>
      <c r="D256" s="8" t="s">
        <v>123</v>
      </c>
      <c r="E256" s="8"/>
      <c r="F256" s="10" t="n">
        <v>169</v>
      </c>
      <c r="G256" s="8" t="s">
        <v>105</v>
      </c>
      <c r="H256" s="8" t="s">
        <v>161</v>
      </c>
    </row>
    <row r="257" customFormat="false" ht="17.15" hidden="false" customHeight="false" outlineLevel="0" collapsed="false">
      <c r="A257" s="8" t="s">
        <v>72</v>
      </c>
      <c r="B257" s="9" t="s">
        <v>73</v>
      </c>
      <c r="C257" s="8" t="s">
        <v>96</v>
      </c>
      <c r="D257" s="8" t="s">
        <v>124</v>
      </c>
      <c r="E257" s="8"/>
      <c r="F257" s="10" t="n">
        <v>97</v>
      </c>
      <c r="G257" s="8" t="s">
        <v>105</v>
      </c>
      <c r="H257" s="8" t="s">
        <v>161</v>
      </c>
    </row>
    <row r="258" customFormat="false" ht="17.15" hidden="false" customHeight="false" outlineLevel="0" collapsed="false">
      <c r="A258" s="8" t="s">
        <v>72</v>
      </c>
      <c r="B258" s="9" t="s">
        <v>73</v>
      </c>
      <c r="C258" s="8" t="s">
        <v>96</v>
      </c>
      <c r="D258" s="8" t="s">
        <v>125</v>
      </c>
      <c r="E258" s="8"/>
      <c r="F258" s="10" t="n">
        <v>152</v>
      </c>
      <c r="G258" s="8" t="s">
        <v>105</v>
      </c>
      <c r="H258" s="8" t="s">
        <v>161</v>
      </c>
    </row>
    <row r="259" customFormat="false" ht="17.15" hidden="false" customHeight="false" outlineLevel="0" collapsed="false">
      <c r="A259" s="8" t="s">
        <v>72</v>
      </c>
      <c r="B259" s="9" t="s">
        <v>73</v>
      </c>
      <c r="C259" s="8" t="s">
        <v>96</v>
      </c>
      <c r="D259" s="8" t="s">
        <v>126</v>
      </c>
      <c r="E259" s="8"/>
      <c r="F259" s="10" t="n">
        <v>76</v>
      </c>
      <c r="G259" s="8" t="s">
        <v>105</v>
      </c>
      <c r="H259" s="8" t="s">
        <v>161</v>
      </c>
    </row>
    <row r="260" customFormat="false" ht="17.15" hidden="false" customHeight="false" outlineLevel="0" collapsed="false">
      <c r="A260" s="8" t="s">
        <v>72</v>
      </c>
      <c r="B260" s="9" t="s">
        <v>73</v>
      </c>
      <c r="C260" s="8" t="s">
        <v>96</v>
      </c>
      <c r="D260" s="8" t="s">
        <v>127</v>
      </c>
      <c r="E260" s="8"/>
      <c r="F260" s="10" t="n">
        <v>119</v>
      </c>
      <c r="G260" s="8" t="s">
        <v>105</v>
      </c>
      <c r="H260" s="8" t="s">
        <v>161</v>
      </c>
    </row>
    <row r="261" customFormat="false" ht="17.15" hidden="false" customHeight="false" outlineLevel="0" collapsed="false">
      <c r="A261" s="8" t="s">
        <v>72</v>
      </c>
      <c r="B261" s="9" t="s">
        <v>73</v>
      </c>
      <c r="C261" s="8" t="s">
        <v>96</v>
      </c>
      <c r="D261" s="8" t="s">
        <v>128</v>
      </c>
      <c r="E261" s="8"/>
      <c r="F261" s="10" t="n">
        <v>102</v>
      </c>
      <c r="G261" s="8" t="s">
        <v>105</v>
      </c>
      <c r="H261" s="8" t="s">
        <v>161</v>
      </c>
    </row>
    <row r="262" customFormat="false" ht="17.15" hidden="false" customHeight="false" outlineLevel="0" collapsed="false">
      <c r="A262" s="8" t="s">
        <v>72</v>
      </c>
      <c r="B262" s="9" t="s">
        <v>73</v>
      </c>
      <c r="C262" s="8" t="s">
        <v>96</v>
      </c>
      <c r="D262" s="8" t="s">
        <v>129</v>
      </c>
      <c r="E262" s="8"/>
      <c r="F262" s="10" t="n">
        <v>108</v>
      </c>
      <c r="G262" s="8" t="s">
        <v>105</v>
      </c>
      <c r="H262" s="8" t="s">
        <v>161</v>
      </c>
    </row>
    <row r="263" customFormat="false" ht="17.15" hidden="false" customHeight="false" outlineLevel="0" collapsed="false">
      <c r="A263" s="8" t="s">
        <v>72</v>
      </c>
      <c r="B263" s="9" t="s">
        <v>73</v>
      </c>
      <c r="C263" s="8" t="s">
        <v>96</v>
      </c>
      <c r="D263" s="8" t="s">
        <v>130</v>
      </c>
      <c r="E263" s="8"/>
      <c r="F263" s="10" t="n">
        <v>107</v>
      </c>
      <c r="G263" s="8" t="s">
        <v>105</v>
      </c>
      <c r="H263" s="8" t="s">
        <v>161</v>
      </c>
    </row>
    <row r="264" customFormat="false" ht="17.15" hidden="false" customHeight="false" outlineLevel="0" collapsed="false">
      <c r="A264" s="8" t="s">
        <v>72</v>
      </c>
      <c r="B264" s="9" t="s">
        <v>73</v>
      </c>
      <c r="C264" s="8" t="s">
        <v>96</v>
      </c>
      <c r="D264" s="8" t="s">
        <v>131</v>
      </c>
      <c r="E264" s="8"/>
      <c r="F264" s="10" t="n">
        <v>2972</v>
      </c>
      <c r="G264" s="8" t="s">
        <v>105</v>
      </c>
      <c r="H264" s="8" t="s">
        <v>161</v>
      </c>
    </row>
    <row r="265" customFormat="false" ht="17.15" hidden="false" customHeight="false" outlineLevel="0" collapsed="false">
      <c r="A265" s="8" t="s">
        <v>72</v>
      </c>
      <c r="B265" s="9" t="s">
        <v>75</v>
      </c>
      <c r="C265" s="8" t="s">
        <v>96</v>
      </c>
      <c r="D265" s="8" t="s">
        <v>104</v>
      </c>
      <c r="E265" s="8"/>
      <c r="F265" s="10" t="n">
        <v>276</v>
      </c>
      <c r="G265" s="8" t="s">
        <v>105</v>
      </c>
      <c r="H265" s="8" t="s">
        <v>162</v>
      </c>
    </row>
    <row r="266" customFormat="false" ht="17.15" hidden="false" customHeight="false" outlineLevel="0" collapsed="false">
      <c r="A266" s="8" t="s">
        <v>72</v>
      </c>
      <c r="B266" s="9" t="s">
        <v>75</v>
      </c>
      <c r="C266" s="8" t="s">
        <v>96</v>
      </c>
      <c r="D266" s="8" t="s">
        <v>107</v>
      </c>
      <c r="E266" s="8"/>
      <c r="F266" s="10" t="n">
        <v>125</v>
      </c>
      <c r="G266" s="8" t="s">
        <v>105</v>
      </c>
      <c r="H266" s="8" t="s">
        <v>162</v>
      </c>
    </row>
    <row r="267" customFormat="false" ht="17.15" hidden="false" customHeight="false" outlineLevel="0" collapsed="false">
      <c r="A267" s="8" t="s">
        <v>72</v>
      </c>
      <c r="B267" s="9" t="s">
        <v>75</v>
      </c>
      <c r="C267" s="8" t="s">
        <v>96</v>
      </c>
      <c r="D267" s="8" t="s">
        <v>108</v>
      </c>
      <c r="E267" s="8"/>
      <c r="F267" s="10" t="n">
        <v>84</v>
      </c>
      <c r="G267" s="8" t="s">
        <v>105</v>
      </c>
      <c r="H267" s="8" t="s">
        <v>162</v>
      </c>
    </row>
    <row r="268" customFormat="false" ht="17.15" hidden="false" customHeight="false" outlineLevel="0" collapsed="false">
      <c r="A268" s="8" t="s">
        <v>72</v>
      </c>
      <c r="B268" s="9" t="s">
        <v>75</v>
      </c>
      <c r="C268" s="8" t="s">
        <v>96</v>
      </c>
      <c r="D268" s="8" t="s">
        <v>109</v>
      </c>
      <c r="E268" s="8"/>
      <c r="F268" s="10" t="n">
        <v>189</v>
      </c>
      <c r="G268" s="8" t="s">
        <v>105</v>
      </c>
      <c r="H268" s="8" t="s">
        <v>162</v>
      </c>
    </row>
    <row r="269" customFormat="false" ht="17.15" hidden="false" customHeight="false" outlineLevel="0" collapsed="false">
      <c r="A269" s="8" t="s">
        <v>72</v>
      </c>
      <c r="B269" s="9" t="s">
        <v>75</v>
      </c>
      <c r="C269" s="8" t="s">
        <v>96</v>
      </c>
      <c r="D269" s="8" t="s">
        <v>110</v>
      </c>
      <c r="E269" s="8"/>
      <c r="F269" s="10" t="n">
        <v>162</v>
      </c>
      <c r="G269" s="8" t="s">
        <v>105</v>
      </c>
      <c r="H269" s="8" t="s">
        <v>162</v>
      </c>
    </row>
    <row r="270" customFormat="false" ht="17.15" hidden="false" customHeight="false" outlineLevel="0" collapsed="false">
      <c r="A270" s="8" t="s">
        <v>72</v>
      </c>
      <c r="B270" s="9" t="s">
        <v>75</v>
      </c>
      <c r="C270" s="8" t="s">
        <v>96</v>
      </c>
      <c r="D270" s="8" t="s">
        <v>111</v>
      </c>
      <c r="E270" s="8"/>
      <c r="F270" s="10" t="n">
        <v>108</v>
      </c>
      <c r="G270" s="8" t="s">
        <v>105</v>
      </c>
      <c r="H270" s="8" t="s">
        <v>162</v>
      </c>
    </row>
    <row r="271" customFormat="false" ht="17.15" hidden="false" customHeight="false" outlineLevel="0" collapsed="false">
      <c r="A271" s="8" t="s">
        <v>72</v>
      </c>
      <c r="B271" s="9" t="s">
        <v>75</v>
      </c>
      <c r="C271" s="8" t="s">
        <v>96</v>
      </c>
      <c r="D271" s="8" t="s">
        <v>112</v>
      </c>
      <c r="E271" s="8"/>
      <c r="F271" s="10" t="n">
        <v>127</v>
      </c>
      <c r="G271" s="8" t="s">
        <v>105</v>
      </c>
      <c r="H271" s="8" t="s">
        <v>162</v>
      </c>
    </row>
    <row r="272" customFormat="false" ht="17.15" hidden="false" customHeight="false" outlineLevel="0" collapsed="false">
      <c r="A272" s="8" t="s">
        <v>72</v>
      </c>
      <c r="B272" s="9" t="s">
        <v>75</v>
      </c>
      <c r="C272" s="8" t="s">
        <v>96</v>
      </c>
      <c r="D272" s="8" t="s">
        <v>113</v>
      </c>
      <c r="E272" s="8"/>
      <c r="F272" s="10" t="n">
        <v>97</v>
      </c>
      <c r="G272" s="8" t="s">
        <v>105</v>
      </c>
      <c r="H272" s="8" t="s">
        <v>162</v>
      </c>
    </row>
    <row r="273" customFormat="false" ht="17.15" hidden="false" customHeight="false" outlineLevel="0" collapsed="false">
      <c r="A273" s="8" t="s">
        <v>72</v>
      </c>
      <c r="B273" s="9" t="s">
        <v>75</v>
      </c>
      <c r="C273" s="8" t="s">
        <v>96</v>
      </c>
      <c r="D273" s="8" t="s">
        <v>114</v>
      </c>
      <c r="E273" s="8"/>
      <c r="F273" s="10" t="n">
        <v>130</v>
      </c>
      <c r="G273" s="8" t="s">
        <v>105</v>
      </c>
      <c r="H273" s="8" t="s">
        <v>162</v>
      </c>
    </row>
    <row r="274" customFormat="false" ht="17.15" hidden="false" customHeight="false" outlineLevel="0" collapsed="false">
      <c r="A274" s="8" t="s">
        <v>72</v>
      </c>
      <c r="B274" s="9" t="s">
        <v>75</v>
      </c>
      <c r="C274" s="8" t="s">
        <v>96</v>
      </c>
      <c r="D274" s="8" t="s">
        <v>115</v>
      </c>
      <c r="E274" s="8"/>
      <c r="F274" s="10" t="n">
        <v>79</v>
      </c>
      <c r="G274" s="8" t="s">
        <v>105</v>
      </c>
      <c r="H274" s="8" t="s">
        <v>162</v>
      </c>
    </row>
    <row r="275" customFormat="false" ht="17.15" hidden="false" customHeight="false" outlineLevel="0" collapsed="false">
      <c r="A275" s="8" t="s">
        <v>72</v>
      </c>
      <c r="B275" s="9" t="s">
        <v>75</v>
      </c>
      <c r="C275" s="8" t="s">
        <v>96</v>
      </c>
      <c r="D275" s="8" t="s">
        <v>116</v>
      </c>
      <c r="E275" s="8"/>
      <c r="F275" s="10" t="n">
        <v>120</v>
      </c>
      <c r="G275" s="8" t="s">
        <v>105</v>
      </c>
      <c r="H275" s="8" t="s">
        <v>162</v>
      </c>
    </row>
    <row r="276" customFormat="false" ht="17.15" hidden="false" customHeight="false" outlineLevel="0" collapsed="false">
      <c r="A276" s="8" t="s">
        <v>72</v>
      </c>
      <c r="B276" s="9" t="s">
        <v>75</v>
      </c>
      <c r="C276" s="8" t="s">
        <v>96</v>
      </c>
      <c r="D276" s="8" t="s">
        <v>117</v>
      </c>
      <c r="E276" s="8"/>
      <c r="F276" s="10" t="n">
        <v>120</v>
      </c>
      <c r="G276" s="8" t="s">
        <v>105</v>
      </c>
      <c r="H276" s="8" t="s">
        <v>162</v>
      </c>
    </row>
    <row r="277" customFormat="false" ht="17.15" hidden="false" customHeight="false" outlineLevel="0" collapsed="false">
      <c r="A277" s="8" t="s">
        <v>72</v>
      </c>
      <c r="B277" s="9" t="s">
        <v>75</v>
      </c>
      <c r="C277" s="8" t="s">
        <v>96</v>
      </c>
      <c r="D277" s="8" t="s">
        <v>118</v>
      </c>
      <c r="E277" s="8"/>
      <c r="F277" s="10" t="n">
        <v>193</v>
      </c>
      <c r="G277" s="8" t="s">
        <v>105</v>
      </c>
      <c r="H277" s="8" t="s">
        <v>162</v>
      </c>
    </row>
    <row r="278" customFormat="false" ht="17.15" hidden="false" customHeight="false" outlineLevel="0" collapsed="false">
      <c r="A278" s="8" t="s">
        <v>72</v>
      </c>
      <c r="B278" s="9" t="s">
        <v>75</v>
      </c>
      <c r="C278" s="8" t="s">
        <v>96</v>
      </c>
      <c r="D278" s="8" t="s">
        <v>119</v>
      </c>
      <c r="E278" s="8"/>
      <c r="F278" s="10" t="n">
        <v>99</v>
      </c>
      <c r="G278" s="8" t="s">
        <v>105</v>
      </c>
      <c r="H278" s="8" t="s">
        <v>162</v>
      </c>
    </row>
    <row r="279" customFormat="false" ht="17.15" hidden="false" customHeight="false" outlineLevel="0" collapsed="false">
      <c r="A279" s="8" t="s">
        <v>72</v>
      </c>
      <c r="B279" s="9" t="s">
        <v>75</v>
      </c>
      <c r="C279" s="8" t="s">
        <v>96</v>
      </c>
      <c r="D279" s="8" t="s">
        <v>120</v>
      </c>
      <c r="E279" s="8"/>
      <c r="F279" s="10" t="n">
        <v>156</v>
      </c>
      <c r="G279" s="8" t="s">
        <v>105</v>
      </c>
      <c r="H279" s="8" t="s">
        <v>162</v>
      </c>
    </row>
    <row r="280" customFormat="false" ht="17.15" hidden="false" customHeight="false" outlineLevel="0" collapsed="false">
      <c r="A280" s="8" t="s">
        <v>72</v>
      </c>
      <c r="B280" s="9" t="s">
        <v>75</v>
      </c>
      <c r="C280" s="8" t="s">
        <v>96</v>
      </c>
      <c r="D280" s="8" t="s">
        <v>121</v>
      </c>
      <c r="E280" s="8"/>
      <c r="F280" s="10" t="n">
        <v>86</v>
      </c>
      <c r="G280" s="8" t="s">
        <v>105</v>
      </c>
      <c r="H280" s="8" t="s">
        <v>162</v>
      </c>
    </row>
    <row r="281" customFormat="false" ht="17.15" hidden="false" customHeight="false" outlineLevel="0" collapsed="false">
      <c r="A281" s="8" t="s">
        <v>72</v>
      </c>
      <c r="B281" s="9" t="s">
        <v>75</v>
      </c>
      <c r="C281" s="8" t="s">
        <v>96</v>
      </c>
      <c r="D281" s="8" t="s">
        <v>122</v>
      </c>
      <c r="E281" s="8"/>
      <c r="F281" s="10" t="n">
        <v>114</v>
      </c>
      <c r="G281" s="8" t="s">
        <v>105</v>
      </c>
      <c r="H281" s="8" t="s">
        <v>162</v>
      </c>
    </row>
    <row r="282" customFormat="false" ht="17.15" hidden="false" customHeight="false" outlineLevel="0" collapsed="false">
      <c r="A282" s="8" t="s">
        <v>72</v>
      </c>
      <c r="B282" s="9" t="s">
        <v>75</v>
      </c>
      <c r="C282" s="8" t="s">
        <v>96</v>
      </c>
      <c r="D282" s="8" t="s">
        <v>123</v>
      </c>
      <c r="E282" s="8"/>
      <c r="F282" s="10" t="n">
        <v>184</v>
      </c>
      <c r="G282" s="8" t="s">
        <v>105</v>
      </c>
      <c r="H282" s="8" t="s">
        <v>162</v>
      </c>
    </row>
    <row r="283" customFormat="false" ht="17.15" hidden="false" customHeight="false" outlineLevel="0" collapsed="false">
      <c r="A283" s="8" t="s">
        <v>72</v>
      </c>
      <c r="B283" s="9" t="s">
        <v>75</v>
      </c>
      <c r="C283" s="8" t="s">
        <v>96</v>
      </c>
      <c r="D283" s="8" t="s">
        <v>124</v>
      </c>
      <c r="E283" s="8"/>
      <c r="F283" s="10" t="n">
        <v>99</v>
      </c>
      <c r="G283" s="8" t="s">
        <v>105</v>
      </c>
      <c r="H283" s="8" t="s">
        <v>162</v>
      </c>
    </row>
    <row r="284" customFormat="false" ht="17.15" hidden="false" customHeight="false" outlineLevel="0" collapsed="false">
      <c r="A284" s="8" t="s">
        <v>72</v>
      </c>
      <c r="B284" s="9" t="s">
        <v>75</v>
      </c>
      <c r="C284" s="8" t="s">
        <v>96</v>
      </c>
      <c r="D284" s="8" t="s">
        <v>125</v>
      </c>
      <c r="E284" s="8"/>
      <c r="F284" s="10" t="n">
        <v>175</v>
      </c>
      <c r="G284" s="8" t="s">
        <v>105</v>
      </c>
      <c r="H284" s="8" t="s">
        <v>162</v>
      </c>
    </row>
    <row r="285" customFormat="false" ht="17.15" hidden="false" customHeight="false" outlineLevel="0" collapsed="false">
      <c r="A285" s="8" t="s">
        <v>72</v>
      </c>
      <c r="B285" s="9" t="s">
        <v>75</v>
      </c>
      <c r="C285" s="8" t="s">
        <v>96</v>
      </c>
      <c r="D285" s="8" t="s">
        <v>126</v>
      </c>
      <c r="E285" s="8"/>
      <c r="F285" s="10" t="n">
        <v>88</v>
      </c>
      <c r="G285" s="8" t="s">
        <v>105</v>
      </c>
      <c r="H285" s="8" t="s">
        <v>162</v>
      </c>
    </row>
    <row r="286" customFormat="false" ht="17.15" hidden="false" customHeight="false" outlineLevel="0" collapsed="false">
      <c r="A286" s="8" t="s">
        <v>72</v>
      </c>
      <c r="B286" s="9" t="s">
        <v>75</v>
      </c>
      <c r="C286" s="8" t="s">
        <v>96</v>
      </c>
      <c r="D286" s="8" t="s">
        <v>127</v>
      </c>
      <c r="E286" s="8"/>
      <c r="F286" s="10" t="n">
        <v>131</v>
      </c>
      <c r="G286" s="8" t="s">
        <v>105</v>
      </c>
      <c r="H286" s="8" t="s">
        <v>162</v>
      </c>
    </row>
    <row r="287" customFormat="false" ht="17.15" hidden="false" customHeight="false" outlineLevel="0" collapsed="false">
      <c r="A287" s="8" t="s">
        <v>72</v>
      </c>
      <c r="B287" s="9" t="s">
        <v>75</v>
      </c>
      <c r="C287" s="8" t="s">
        <v>96</v>
      </c>
      <c r="D287" s="8" t="s">
        <v>128</v>
      </c>
      <c r="E287" s="8"/>
      <c r="F287" s="10" t="n">
        <v>74</v>
      </c>
      <c r="G287" s="8" t="s">
        <v>105</v>
      </c>
      <c r="H287" s="8" t="s">
        <v>162</v>
      </c>
    </row>
    <row r="288" customFormat="false" ht="17.15" hidden="false" customHeight="false" outlineLevel="0" collapsed="false">
      <c r="A288" s="8" t="s">
        <v>72</v>
      </c>
      <c r="B288" s="9" t="s">
        <v>75</v>
      </c>
      <c r="C288" s="8" t="s">
        <v>96</v>
      </c>
      <c r="D288" s="8" t="s">
        <v>129</v>
      </c>
      <c r="E288" s="8"/>
      <c r="F288" s="10" t="n">
        <v>110</v>
      </c>
      <c r="G288" s="8" t="s">
        <v>105</v>
      </c>
      <c r="H288" s="8" t="s">
        <v>162</v>
      </c>
    </row>
    <row r="289" customFormat="false" ht="17.15" hidden="false" customHeight="false" outlineLevel="0" collapsed="false">
      <c r="A289" s="8" t="s">
        <v>72</v>
      </c>
      <c r="B289" s="9" t="s">
        <v>75</v>
      </c>
      <c r="C289" s="8" t="s">
        <v>96</v>
      </c>
      <c r="D289" s="8" t="s">
        <v>130</v>
      </c>
      <c r="E289" s="8"/>
      <c r="F289" s="10" t="n">
        <v>116</v>
      </c>
      <c r="G289" s="8" t="s">
        <v>105</v>
      </c>
      <c r="H289" s="8" t="s">
        <v>162</v>
      </c>
    </row>
    <row r="290" customFormat="false" ht="17.15" hidden="false" customHeight="false" outlineLevel="0" collapsed="false">
      <c r="A290" s="8" t="s">
        <v>72</v>
      </c>
      <c r="B290" s="9" t="s">
        <v>75</v>
      </c>
      <c r="C290" s="8" t="s">
        <v>96</v>
      </c>
      <c r="D290" s="8" t="s">
        <v>131</v>
      </c>
      <c r="E290" s="8"/>
      <c r="F290" s="10" t="n">
        <v>3242</v>
      </c>
      <c r="G290" s="8" t="s">
        <v>105</v>
      </c>
      <c r="H290" s="8" t="s">
        <v>162</v>
      </c>
    </row>
    <row r="291" customFormat="false" ht="17.15" hidden="false" customHeight="false" outlineLevel="0" collapsed="false">
      <c r="A291" s="8" t="s">
        <v>72</v>
      </c>
      <c r="B291" s="8" t="s">
        <v>77</v>
      </c>
      <c r="C291" s="8" t="s">
        <v>96</v>
      </c>
      <c r="D291" s="8" t="s">
        <v>104</v>
      </c>
      <c r="E291" s="8"/>
      <c r="F291" s="10" t="n">
        <v>182</v>
      </c>
      <c r="G291" s="8" t="s">
        <v>105</v>
      </c>
      <c r="H291" s="8" t="s">
        <v>163</v>
      </c>
    </row>
    <row r="292" customFormat="false" ht="17.15" hidden="false" customHeight="false" outlineLevel="0" collapsed="false">
      <c r="A292" s="8" t="s">
        <v>72</v>
      </c>
      <c r="B292" s="8" t="s">
        <v>77</v>
      </c>
      <c r="C292" s="8" t="s">
        <v>96</v>
      </c>
      <c r="D292" s="8" t="s">
        <v>107</v>
      </c>
      <c r="E292" s="8"/>
      <c r="F292" s="10" t="n">
        <v>72</v>
      </c>
      <c r="G292" s="8" t="s">
        <v>105</v>
      </c>
      <c r="H292" s="8" t="s">
        <v>163</v>
      </c>
    </row>
    <row r="293" customFormat="false" ht="17.15" hidden="false" customHeight="false" outlineLevel="0" collapsed="false">
      <c r="A293" s="8" t="s">
        <v>72</v>
      </c>
      <c r="B293" s="8" t="s">
        <v>77</v>
      </c>
      <c r="C293" s="8" t="s">
        <v>96</v>
      </c>
      <c r="D293" s="8" t="s">
        <v>108</v>
      </c>
      <c r="E293" s="8"/>
      <c r="F293" s="10" t="n">
        <v>53</v>
      </c>
      <c r="G293" s="8" t="s">
        <v>105</v>
      </c>
      <c r="H293" s="8" t="s">
        <v>163</v>
      </c>
    </row>
    <row r="294" customFormat="false" ht="17.15" hidden="false" customHeight="false" outlineLevel="0" collapsed="false">
      <c r="A294" s="8" t="s">
        <v>72</v>
      </c>
      <c r="B294" s="8" t="s">
        <v>77</v>
      </c>
      <c r="C294" s="8" t="s">
        <v>96</v>
      </c>
      <c r="D294" s="8" t="s">
        <v>109</v>
      </c>
      <c r="E294" s="8"/>
      <c r="F294" s="10" t="n">
        <v>94</v>
      </c>
      <c r="G294" s="8" t="s">
        <v>105</v>
      </c>
      <c r="H294" s="8" t="s">
        <v>163</v>
      </c>
    </row>
    <row r="295" customFormat="false" ht="17.15" hidden="false" customHeight="false" outlineLevel="0" collapsed="false">
      <c r="A295" s="8" t="s">
        <v>72</v>
      </c>
      <c r="B295" s="8" t="s">
        <v>77</v>
      </c>
      <c r="C295" s="8" t="s">
        <v>96</v>
      </c>
      <c r="D295" s="8" t="s">
        <v>110</v>
      </c>
      <c r="E295" s="8"/>
      <c r="F295" s="10" t="n">
        <v>86</v>
      </c>
      <c r="G295" s="8" t="s">
        <v>105</v>
      </c>
      <c r="H295" s="8" t="s">
        <v>163</v>
      </c>
    </row>
    <row r="296" customFormat="false" ht="17.15" hidden="false" customHeight="false" outlineLevel="0" collapsed="false">
      <c r="A296" s="8" t="s">
        <v>72</v>
      </c>
      <c r="B296" s="8" t="s">
        <v>77</v>
      </c>
      <c r="C296" s="8" t="s">
        <v>96</v>
      </c>
      <c r="D296" s="8" t="s">
        <v>111</v>
      </c>
      <c r="E296" s="8"/>
      <c r="F296" s="10" t="n">
        <v>68</v>
      </c>
      <c r="G296" s="8" t="s">
        <v>105</v>
      </c>
      <c r="H296" s="8" t="s">
        <v>163</v>
      </c>
    </row>
    <row r="297" customFormat="false" ht="17.15" hidden="false" customHeight="false" outlineLevel="0" collapsed="false">
      <c r="A297" s="8" t="s">
        <v>72</v>
      </c>
      <c r="B297" s="8" t="s">
        <v>77</v>
      </c>
      <c r="C297" s="8" t="s">
        <v>96</v>
      </c>
      <c r="D297" s="8" t="s">
        <v>112</v>
      </c>
      <c r="E297" s="8"/>
      <c r="F297" s="10" t="n">
        <v>57</v>
      </c>
      <c r="G297" s="8" t="s">
        <v>105</v>
      </c>
      <c r="H297" s="8" t="s">
        <v>163</v>
      </c>
    </row>
    <row r="298" customFormat="false" ht="17.15" hidden="false" customHeight="false" outlineLevel="0" collapsed="false">
      <c r="A298" s="8" t="s">
        <v>72</v>
      </c>
      <c r="B298" s="8" t="s">
        <v>77</v>
      </c>
      <c r="C298" s="8" t="s">
        <v>96</v>
      </c>
      <c r="D298" s="8" t="s">
        <v>113</v>
      </c>
      <c r="E298" s="8"/>
      <c r="F298" s="10" t="n">
        <v>57</v>
      </c>
      <c r="G298" s="8" t="s">
        <v>105</v>
      </c>
      <c r="H298" s="8" t="s">
        <v>163</v>
      </c>
    </row>
    <row r="299" customFormat="false" ht="17.15" hidden="false" customHeight="false" outlineLevel="0" collapsed="false">
      <c r="A299" s="8" t="s">
        <v>72</v>
      </c>
      <c r="B299" s="8" t="s">
        <v>77</v>
      </c>
      <c r="C299" s="8" t="s">
        <v>96</v>
      </c>
      <c r="D299" s="8" t="s">
        <v>114</v>
      </c>
      <c r="E299" s="8"/>
      <c r="F299" s="10" t="n">
        <v>58</v>
      </c>
      <c r="G299" s="8" t="s">
        <v>105</v>
      </c>
      <c r="H299" s="8" t="s">
        <v>163</v>
      </c>
    </row>
    <row r="300" customFormat="false" ht="17.15" hidden="false" customHeight="false" outlineLevel="0" collapsed="false">
      <c r="A300" s="8" t="s">
        <v>72</v>
      </c>
      <c r="B300" s="8" t="s">
        <v>77</v>
      </c>
      <c r="C300" s="8" t="s">
        <v>96</v>
      </c>
      <c r="D300" s="8" t="s">
        <v>115</v>
      </c>
      <c r="E300" s="8"/>
      <c r="F300" s="10" t="n">
        <v>47</v>
      </c>
      <c r="G300" s="8" t="s">
        <v>105</v>
      </c>
      <c r="H300" s="8" t="s">
        <v>163</v>
      </c>
    </row>
    <row r="301" customFormat="false" ht="17.15" hidden="false" customHeight="false" outlineLevel="0" collapsed="false">
      <c r="A301" s="8" t="s">
        <v>72</v>
      </c>
      <c r="B301" s="8" t="s">
        <v>77</v>
      </c>
      <c r="C301" s="8" t="s">
        <v>96</v>
      </c>
      <c r="D301" s="8" t="s">
        <v>116</v>
      </c>
      <c r="E301" s="8"/>
      <c r="F301" s="10" t="n">
        <v>67</v>
      </c>
      <c r="G301" s="8" t="s">
        <v>105</v>
      </c>
      <c r="H301" s="8" t="s">
        <v>163</v>
      </c>
    </row>
    <row r="302" customFormat="false" ht="17.15" hidden="false" customHeight="false" outlineLevel="0" collapsed="false">
      <c r="A302" s="8" t="s">
        <v>72</v>
      </c>
      <c r="B302" s="8" t="s">
        <v>77</v>
      </c>
      <c r="C302" s="8" t="s">
        <v>96</v>
      </c>
      <c r="D302" s="8" t="s">
        <v>117</v>
      </c>
      <c r="E302" s="8"/>
      <c r="F302" s="10" t="n">
        <v>55</v>
      </c>
      <c r="G302" s="8" t="s">
        <v>105</v>
      </c>
      <c r="H302" s="8" t="s">
        <v>163</v>
      </c>
    </row>
    <row r="303" customFormat="false" ht="17.15" hidden="false" customHeight="false" outlineLevel="0" collapsed="false">
      <c r="A303" s="8" t="s">
        <v>72</v>
      </c>
      <c r="B303" s="8" t="s">
        <v>77</v>
      </c>
      <c r="C303" s="8" t="s">
        <v>96</v>
      </c>
      <c r="D303" s="8" t="s">
        <v>118</v>
      </c>
      <c r="E303" s="8"/>
      <c r="F303" s="10" t="n">
        <v>109</v>
      </c>
      <c r="G303" s="8" t="s">
        <v>105</v>
      </c>
      <c r="H303" s="8" t="s">
        <v>163</v>
      </c>
    </row>
    <row r="304" customFormat="false" ht="17.15" hidden="false" customHeight="false" outlineLevel="0" collapsed="false">
      <c r="A304" s="8" t="s">
        <v>72</v>
      </c>
      <c r="B304" s="8" t="s">
        <v>77</v>
      </c>
      <c r="C304" s="8" t="s">
        <v>96</v>
      </c>
      <c r="D304" s="8" t="s">
        <v>119</v>
      </c>
      <c r="E304" s="8"/>
      <c r="F304" s="10" t="n">
        <v>45</v>
      </c>
      <c r="G304" s="8" t="s">
        <v>105</v>
      </c>
      <c r="H304" s="8" t="s">
        <v>163</v>
      </c>
    </row>
    <row r="305" customFormat="false" ht="17.15" hidden="false" customHeight="false" outlineLevel="0" collapsed="false">
      <c r="A305" s="8" t="s">
        <v>72</v>
      </c>
      <c r="B305" s="8" t="s">
        <v>77</v>
      </c>
      <c r="C305" s="8" t="s">
        <v>96</v>
      </c>
      <c r="D305" s="8" t="s">
        <v>120</v>
      </c>
      <c r="E305" s="8"/>
      <c r="F305" s="10" t="n">
        <v>99</v>
      </c>
      <c r="G305" s="8" t="s">
        <v>105</v>
      </c>
      <c r="H305" s="8" t="s">
        <v>163</v>
      </c>
    </row>
    <row r="306" customFormat="false" ht="17.15" hidden="false" customHeight="false" outlineLevel="0" collapsed="false">
      <c r="A306" s="8" t="s">
        <v>72</v>
      </c>
      <c r="B306" s="8" t="s">
        <v>77</v>
      </c>
      <c r="C306" s="8" t="s">
        <v>96</v>
      </c>
      <c r="D306" s="8" t="s">
        <v>121</v>
      </c>
      <c r="E306" s="8"/>
      <c r="F306" s="10" t="n">
        <v>46</v>
      </c>
      <c r="G306" s="8" t="s">
        <v>105</v>
      </c>
      <c r="H306" s="8" t="s">
        <v>163</v>
      </c>
    </row>
    <row r="307" customFormat="false" ht="17.15" hidden="false" customHeight="false" outlineLevel="0" collapsed="false">
      <c r="A307" s="8" t="s">
        <v>72</v>
      </c>
      <c r="B307" s="8" t="s">
        <v>77</v>
      </c>
      <c r="C307" s="8" t="s">
        <v>96</v>
      </c>
      <c r="D307" s="8" t="s">
        <v>122</v>
      </c>
      <c r="E307" s="8"/>
      <c r="F307" s="10" t="n">
        <v>62</v>
      </c>
      <c r="G307" s="8" t="s">
        <v>105</v>
      </c>
      <c r="H307" s="8" t="s">
        <v>163</v>
      </c>
    </row>
    <row r="308" customFormat="false" ht="17.15" hidden="false" customHeight="false" outlineLevel="0" collapsed="false">
      <c r="A308" s="8" t="s">
        <v>72</v>
      </c>
      <c r="B308" s="8" t="s">
        <v>77</v>
      </c>
      <c r="C308" s="8" t="s">
        <v>96</v>
      </c>
      <c r="D308" s="8" t="s">
        <v>123</v>
      </c>
      <c r="E308" s="8"/>
      <c r="F308" s="10" t="n">
        <v>132</v>
      </c>
      <c r="G308" s="8" t="s">
        <v>105</v>
      </c>
      <c r="H308" s="8" t="s">
        <v>163</v>
      </c>
    </row>
    <row r="309" customFormat="false" ht="17.15" hidden="false" customHeight="false" outlineLevel="0" collapsed="false">
      <c r="A309" s="8" t="s">
        <v>72</v>
      </c>
      <c r="B309" s="8" t="s">
        <v>77</v>
      </c>
      <c r="C309" s="8" t="s">
        <v>96</v>
      </c>
      <c r="D309" s="8" t="s">
        <v>124</v>
      </c>
      <c r="E309" s="8"/>
      <c r="F309" s="10" t="n">
        <v>47</v>
      </c>
      <c r="G309" s="8" t="s">
        <v>105</v>
      </c>
      <c r="H309" s="8" t="s">
        <v>163</v>
      </c>
    </row>
    <row r="310" customFormat="false" ht="17.15" hidden="false" customHeight="false" outlineLevel="0" collapsed="false">
      <c r="A310" s="8" t="s">
        <v>72</v>
      </c>
      <c r="B310" s="8" t="s">
        <v>77</v>
      </c>
      <c r="C310" s="8" t="s">
        <v>96</v>
      </c>
      <c r="D310" s="8" t="s">
        <v>125</v>
      </c>
      <c r="E310" s="8"/>
      <c r="F310" s="10" t="n">
        <v>84</v>
      </c>
      <c r="G310" s="8" t="s">
        <v>105</v>
      </c>
      <c r="H310" s="8" t="s">
        <v>163</v>
      </c>
    </row>
    <row r="311" customFormat="false" ht="17.15" hidden="false" customHeight="false" outlineLevel="0" collapsed="false">
      <c r="A311" s="8" t="s">
        <v>72</v>
      </c>
      <c r="B311" s="8" t="s">
        <v>77</v>
      </c>
      <c r="C311" s="8" t="s">
        <v>96</v>
      </c>
      <c r="D311" s="8" t="s">
        <v>126</v>
      </c>
      <c r="E311" s="8"/>
      <c r="F311" s="10" t="n">
        <v>49</v>
      </c>
      <c r="G311" s="8" t="s">
        <v>105</v>
      </c>
      <c r="H311" s="8" t="s">
        <v>163</v>
      </c>
    </row>
    <row r="312" customFormat="false" ht="17.15" hidden="false" customHeight="false" outlineLevel="0" collapsed="false">
      <c r="A312" s="8" t="s">
        <v>72</v>
      </c>
      <c r="B312" s="8" t="s">
        <v>77</v>
      </c>
      <c r="C312" s="8" t="s">
        <v>96</v>
      </c>
      <c r="D312" s="8" t="s">
        <v>127</v>
      </c>
      <c r="E312" s="8"/>
      <c r="F312" s="10" t="n">
        <v>44</v>
      </c>
      <c r="G312" s="8" t="s">
        <v>105</v>
      </c>
      <c r="H312" s="8" t="s">
        <v>163</v>
      </c>
    </row>
    <row r="313" customFormat="false" ht="17.15" hidden="false" customHeight="false" outlineLevel="0" collapsed="false">
      <c r="A313" s="8" t="s">
        <v>72</v>
      </c>
      <c r="B313" s="8" t="s">
        <v>77</v>
      </c>
      <c r="C313" s="8" t="s">
        <v>96</v>
      </c>
      <c r="D313" s="8" t="s">
        <v>128</v>
      </c>
      <c r="E313" s="8"/>
      <c r="F313" s="10" t="n">
        <v>70</v>
      </c>
      <c r="G313" s="8" t="s">
        <v>105</v>
      </c>
      <c r="H313" s="8" t="s">
        <v>163</v>
      </c>
    </row>
    <row r="314" customFormat="false" ht="17.15" hidden="false" customHeight="false" outlineLevel="0" collapsed="false">
      <c r="A314" s="8" t="s">
        <v>72</v>
      </c>
      <c r="B314" s="8" t="s">
        <v>77</v>
      </c>
      <c r="C314" s="8" t="s">
        <v>96</v>
      </c>
      <c r="D314" s="8" t="s">
        <v>129</v>
      </c>
      <c r="E314" s="8"/>
      <c r="F314" s="10" t="n">
        <v>84</v>
      </c>
      <c r="G314" s="8" t="s">
        <v>105</v>
      </c>
      <c r="H314" s="8" t="s">
        <v>163</v>
      </c>
    </row>
    <row r="315" customFormat="false" ht="17.15" hidden="false" customHeight="false" outlineLevel="0" collapsed="false">
      <c r="A315" s="8" t="s">
        <v>72</v>
      </c>
      <c r="B315" s="8" t="s">
        <v>77</v>
      </c>
      <c r="C315" s="8" t="s">
        <v>96</v>
      </c>
      <c r="D315" s="8" t="s">
        <v>130</v>
      </c>
      <c r="E315" s="8"/>
      <c r="F315" s="10" t="n">
        <v>46</v>
      </c>
      <c r="G315" s="8" t="s">
        <v>105</v>
      </c>
      <c r="H315" s="8" t="s">
        <v>163</v>
      </c>
    </row>
    <row r="316" customFormat="false" ht="17.15" hidden="false" customHeight="false" outlineLevel="0" collapsed="false">
      <c r="A316" s="8" t="s">
        <v>72</v>
      </c>
      <c r="B316" s="8" t="s">
        <v>77</v>
      </c>
      <c r="C316" s="8" t="s">
        <v>96</v>
      </c>
      <c r="D316" s="8" t="s">
        <v>131</v>
      </c>
      <c r="E316" s="8"/>
      <c r="F316" s="10" t="n">
        <v>1813</v>
      </c>
      <c r="G316" s="8" t="s">
        <v>105</v>
      </c>
      <c r="H316" s="8" t="s">
        <v>163</v>
      </c>
    </row>
    <row r="317" customFormat="false" ht="17.15" hidden="false" customHeight="false" outlineLevel="0" collapsed="false">
      <c r="A317" s="8" t="s">
        <v>72</v>
      </c>
      <c r="B317" s="8" t="s">
        <v>79</v>
      </c>
      <c r="C317" s="8" t="s">
        <v>96</v>
      </c>
      <c r="D317" s="8" t="s">
        <v>104</v>
      </c>
      <c r="E317" s="8"/>
      <c r="F317" s="10" t="n">
        <v>56</v>
      </c>
      <c r="G317" s="8" t="s">
        <v>105</v>
      </c>
      <c r="H317" s="8" t="s">
        <v>164</v>
      </c>
    </row>
    <row r="318" customFormat="false" ht="17.15" hidden="false" customHeight="false" outlineLevel="0" collapsed="false">
      <c r="A318" s="8" t="s">
        <v>72</v>
      </c>
      <c r="B318" s="8" t="s">
        <v>79</v>
      </c>
      <c r="C318" s="8" t="s">
        <v>96</v>
      </c>
      <c r="D318" s="8" t="s">
        <v>107</v>
      </c>
      <c r="E318" s="8"/>
      <c r="F318" s="10" t="n">
        <v>19</v>
      </c>
      <c r="G318" s="8" t="s">
        <v>105</v>
      </c>
      <c r="H318" s="8" t="s">
        <v>164</v>
      </c>
    </row>
    <row r="319" customFormat="false" ht="17.15" hidden="false" customHeight="false" outlineLevel="0" collapsed="false">
      <c r="A319" s="8" t="s">
        <v>72</v>
      </c>
      <c r="B319" s="8" t="s">
        <v>79</v>
      </c>
      <c r="C319" s="8" t="s">
        <v>96</v>
      </c>
      <c r="D319" s="8" t="s">
        <v>108</v>
      </c>
      <c r="E319" s="8"/>
      <c r="F319" s="10" t="n">
        <v>13</v>
      </c>
      <c r="G319" s="8" t="s">
        <v>105</v>
      </c>
      <c r="H319" s="8" t="s">
        <v>164</v>
      </c>
    </row>
    <row r="320" customFormat="false" ht="17.15" hidden="false" customHeight="false" outlineLevel="0" collapsed="false">
      <c r="A320" s="8" t="s">
        <v>72</v>
      </c>
      <c r="B320" s="8" t="s">
        <v>79</v>
      </c>
      <c r="C320" s="8" t="s">
        <v>96</v>
      </c>
      <c r="D320" s="8" t="s">
        <v>109</v>
      </c>
      <c r="E320" s="8"/>
      <c r="F320" s="10" t="n">
        <v>46</v>
      </c>
      <c r="G320" s="8" t="s">
        <v>105</v>
      </c>
      <c r="H320" s="8" t="s">
        <v>164</v>
      </c>
    </row>
    <row r="321" customFormat="false" ht="17.15" hidden="false" customHeight="false" outlineLevel="0" collapsed="false">
      <c r="A321" s="8" t="s">
        <v>72</v>
      </c>
      <c r="B321" s="8" t="s">
        <v>79</v>
      </c>
      <c r="C321" s="8" t="s">
        <v>96</v>
      </c>
      <c r="D321" s="8" t="s">
        <v>110</v>
      </c>
      <c r="E321" s="8"/>
      <c r="F321" s="10" t="n">
        <v>18</v>
      </c>
      <c r="G321" s="8" t="s">
        <v>105</v>
      </c>
      <c r="H321" s="8" t="s">
        <v>164</v>
      </c>
    </row>
    <row r="322" customFormat="false" ht="17.15" hidden="false" customHeight="false" outlineLevel="0" collapsed="false">
      <c r="A322" s="8" t="s">
        <v>72</v>
      </c>
      <c r="B322" s="8" t="s">
        <v>79</v>
      </c>
      <c r="C322" s="8" t="s">
        <v>96</v>
      </c>
      <c r="D322" s="8" t="s">
        <v>111</v>
      </c>
      <c r="E322" s="8"/>
      <c r="F322" s="10" t="n">
        <v>31</v>
      </c>
      <c r="G322" s="8" t="s">
        <v>105</v>
      </c>
      <c r="H322" s="8" t="s">
        <v>164</v>
      </c>
    </row>
    <row r="323" customFormat="false" ht="17.15" hidden="false" customHeight="false" outlineLevel="0" collapsed="false">
      <c r="A323" s="8" t="s">
        <v>72</v>
      </c>
      <c r="B323" s="8" t="s">
        <v>79</v>
      </c>
      <c r="C323" s="8" t="s">
        <v>96</v>
      </c>
      <c r="D323" s="8" t="s">
        <v>112</v>
      </c>
      <c r="E323" s="8"/>
      <c r="F323" s="10" t="n">
        <v>26</v>
      </c>
      <c r="G323" s="8" t="s">
        <v>105</v>
      </c>
      <c r="H323" s="8" t="s">
        <v>164</v>
      </c>
    </row>
    <row r="324" customFormat="false" ht="17.15" hidden="false" customHeight="false" outlineLevel="0" collapsed="false">
      <c r="A324" s="8" t="s">
        <v>72</v>
      </c>
      <c r="B324" s="8" t="s">
        <v>79</v>
      </c>
      <c r="C324" s="8" t="s">
        <v>96</v>
      </c>
      <c r="D324" s="8" t="s">
        <v>113</v>
      </c>
      <c r="E324" s="8"/>
      <c r="F324" s="10" t="n">
        <v>20</v>
      </c>
      <c r="G324" s="8" t="s">
        <v>105</v>
      </c>
      <c r="H324" s="8" t="s">
        <v>164</v>
      </c>
    </row>
    <row r="325" customFormat="false" ht="17.15" hidden="false" customHeight="false" outlineLevel="0" collapsed="false">
      <c r="A325" s="8" t="s">
        <v>72</v>
      </c>
      <c r="B325" s="8" t="s">
        <v>79</v>
      </c>
      <c r="C325" s="8" t="s">
        <v>96</v>
      </c>
      <c r="D325" s="8" t="s">
        <v>114</v>
      </c>
      <c r="E325" s="8"/>
      <c r="F325" s="10" t="n">
        <v>24</v>
      </c>
      <c r="G325" s="8" t="s">
        <v>105</v>
      </c>
      <c r="H325" s="8" t="s">
        <v>164</v>
      </c>
    </row>
    <row r="326" customFormat="false" ht="17.15" hidden="false" customHeight="false" outlineLevel="0" collapsed="false">
      <c r="A326" s="8" t="s">
        <v>72</v>
      </c>
      <c r="B326" s="8" t="s">
        <v>79</v>
      </c>
      <c r="C326" s="8" t="s">
        <v>96</v>
      </c>
      <c r="D326" s="8" t="s">
        <v>115</v>
      </c>
      <c r="E326" s="8"/>
      <c r="F326" s="10" t="n">
        <v>16</v>
      </c>
      <c r="G326" s="8" t="s">
        <v>105</v>
      </c>
      <c r="H326" s="8" t="s">
        <v>164</v>
      </c>
    </row>
    <row r="327" customFormat="false" ht="17.15" hidden="false" customHeight="false" outlineLevel="0" collapsed="false">
      <c r="A327" s="8" t="s">
        <v>72</v>
      </c>
      <c r="B327" s="8" t="s">
        <v>79</v>
      </c>
      <c r="C327" s="8" t="s">
        <v>96</v>
      </c>
      <c r="D327" s="8" t="s">
        <v>116</v>
      </c>
      <c r="E327" s="8"/>
      <c r="F327" s="10" t="n">
        <v>39</v>
      </c>
      <c r="G327" s="8" t="s">
        <v>105</v>
      </c>
      <c r="H327" s="8" t="s">
        <v>164</v>
      </c>
    </row>
    <row r="328" customFormat="false" ht="17.15" hidden="false" customHeight="false" outlineLevel="0" collapsed="false">
      <c r="A328" s="8" t="s">
        <v>72</v>
      </c>
      <c r="B328" s="8" t="s">
        <v>79</v>
      </c>
      <c r="C328" s="8" t="s">
        <v>96</v>
      </c>
      <c r="D328" s="8" t="s">
        <v>117</v>
      </c>
      <c r="E328" s="8"/>
      <c r="F328" s="10" t="n">
        <v>22</v>
      </c>
      <c r="G328" s="8" t="s">
        <v>105</v>
      </c>
      <c r="H328" s="8" t="s">
        <v>164</v>
      </c>
    </row>
    <row r="329" customFormat="false" ht="17.15" hidden="false" customHeight="false" outlineLevel="0" collapsed="false">
      <c r="A329" s="8" t="s">
        <v>72</v>
      </c>
      <c r="B329" s="8" t="s">
        <v>79</v>
      </c>
      <c r="C329" s="8" t="s">
        <v>96</v>
      </c>
      <c r="D329" s="8" t="s">
        <v>118</v>
      </c>
      <c r="E329" s="8"/>
      <c r="F329" s="10" t="n">
        <v>33</v>
      </c>
      <c r="G329" s="8" t="s">
        <v>105</v>
      </c>
      <c r="H329" s="8" t="s">
        <v>164</v>
      </c>
    </row>
    <row r="330" customFormat="false" ht="17.15" hidden="false" customHeight="false" outlineLevel="0" collapsed="false">
      <c r="A330" s="8" t="s">
        <v>72</v>
      </c>
      <c r="B330" s="8" t="s">
        <v>79</v>
      </c>
      <c r="C330" s="8" t="s">
        <v>96</v>
      </c>
      <c r="D330" s="8" t="s">
        <v>119</v>
      </c>
      <c r="E330" s="8"/>
      <c r="F330" s="10" t="n">
        <v>46</v>
      </c>
      <c r="G330" s="8" t="s">
        <v>105</v>
      </c>
      <c r="H330" s="8" t="s">
        <v>164</v>
      </c>
    </row>
    <row r="331" customFormat="false" ht="17.15" hidden="false" customHeight="false" outlineLevel="0" collapsed="false">
      <c r="A331" s="8" t="s">
        <v>72</v>
      </c>
      <c r="B331" s="8" t="s">
        <v>79</v>
      </c>
      <c r="C331" s="8" t="s">
        <v>96</v>
      </c>
      <c r="D331" s="8" t="s">
        <v>120</v>
      </c>
      <c r="E331" s="8"/>
      <c r="F331" s="10" t="n">
        <v>47</v>
      </c>
      <c r="G331" s="8" t="s">
        <v>105</v>
      </c>
      <c r="H331" s="8" t="s">
        <v>164</v>
      </c>
    </row>
    <row r="332" customFormat="false" ht="17.15" hidden="false" customHeight="false" outlineLevel="0" collapsed="false">
      <c r="A332" s="8" t="s">
        <v>72</v>
      </c>
      <c r="B332" s="8" t="s">
        <v>79</v>
      </c>
      <c r="C332" s="8" t="s">
        <v>96</v>
      </c>
      <c r="D332" s="8" t="s">
        <v>121</v>
      </c>
      <c r="E332" s="8"/>
      <c r="F332" s="10" t="n">
        <v>35</v>
      </c>
      <c r="G332" s="8" t="s">
        <v>105</v>
      </c>
      <c r="H332" s="8" t="s">
        <v>164</v>
      </c>
    </row>
    <row r="333" customFormat="false" ht="17.15" hidden="false" customHeight="false" outlineLevel="0" collapsed="false">
      <c r="A333" s="8" t="s">
        <v>72</v>
      </c>
      <c r="B333" s="8" t="s">
        <v>79</v>
      </c>
      <c r="C333" s="8" t="s">
        <v>96</v>
      </c>
      <c r="D333" s="8" t="s">
        <v>122</v>
      </c>
      <c r="E333" s="8"/>
      <c r="F333" s="10" t="n">
        <v>39</v>
      </c>
      <c r="G333" s="8" t="s">
        <v>105</v>
      </c>
      <c r="H333" s="8" t="s">
        <v>164</v>
      </c>
    </row>
    <row r="334" customFormat="false" ht="17.15" hidden="false" customHeight="false" outlineLevel="0" collapsed="false">
      <c r="A334" s="8" t="s">
        <v>72</v>
      </c>
      <c r="B334" s="8" t="s">
        <v>79</v>
      </c>
      <c r="C334" s="8" t="s">
        <v>96</v>
      </c>
      <c r="D334" s="8" t="s">
        <v>123</v>
      </c>
      <c r="E334" s="8"/>
      <c r="F334" s="10" t="n">
        <v>40</v>
      </c>
      <c r="G334" s="8" t="s">
        <v>105</v>
      </c>
      <c r="H334" s="8" t="s">
        <v>164</v>
      </c>
    </row>
    <row r="335" customFormat="false" ht="17.15" hidden="false" customHeight="false" outlineLevel="0" collapsed="false">
      <c r="A335" s="8" t="s">
        <v>72</v>
      </c>
      <c r="B335" s="8" t="s">
        <v>79</v>
      </c>
      <c r="C335" s="8" t="s">
        <v>96</v>
      </c>
      <c r="D335" s="8" t="s">
        <v>124</v>
      </c>
      <c r="E335" s="8"/>
      <c r="F335" s="10" t="n">
        <v>24</v>
      </c>
      <c r="G335" s="8" t="s">
        <v>105</v>
      </c>
      <c r="H335" s="8" t="s">
        <v>164</v>
      </c>
    </row>
    <row r="336" customFormat="false" ht="17.15" hidden="false" customHeight="false" outlineLevel="0" collapsed="false">
      <c r="A336" s="8" t="s">
        <v>72</v>
      </c>
      <c r="B336" s="8" t="s">
        <v>79</v>
      </c>
      <c r="C336" s="8" t="s">
        <v>96</v>
      </c>
      <c r="D336" s="8" t="s">
        <v>125</v>
      </c>
      <c r="E336" s="8"/>
      <c r="F336" s="10" t="n">
        <v>41</v>
      </c>
      <c r="G336" s="8" t="s">
        <v>105</v>
      </c>
      <c r="H336" s="8" t="s">
        <v>164</v>
      </c>
    </row>
    <row r="337" customFormat="false" ht="17.15" hidden="false" customHeight="false" outlineLevel="0" collapsed="false">
      <c r="A337" s="8" t="s">
        <v>72</v>
      </c>
      <c r="B337" s="8" t="s">
        <v>79</v>
      </c>
      <c r="C337" s="8" t="s">
        <v>96</v>
      </c>
      <c r="D337" s="8" t="s">
        <v>126</v>
      </c>
      <c r="E337" s="8"/>
      <c r="F337" s="10" t="n">
        <v>21</v>
      </c>
      <c r="G337" s="8" t="s">
        <v>105</v>
      </c>
      <c r="H337" s="8" t="s">
        <v>164</v>
      </c>
    </row>
    <row r="338" customFormat="false" ht="17.15" hidden="false" customHeight="false" outlineLevel="0" collapsed="false">
      <c r="A338" s="8" t="s">
        <v>72</v>
      </c>
      <c r="B338" s="8" t="s">
        <v>79</v>
      </c>
      <c r="C338" s="8" t="s">
        <v>96</v>
      </c>
      <c r="D338" s="8" t="s">
        <v>127</v>
      </c>
      <c r="E338" s="8"/>
      <c r="F338" s="10" t="n">
        <v>35</v>
      </c>
      <c r="G338" s="8" t="s">
        <v>105</v>
      </c>
      <c r="H338" s="8" t="s">
        <v>164</v>
      </c>
    </row>
    <row r="339" customFormat="false" ht="17.15" hidden="false" customHeight="false" outlineLevel="0" collapsed="false">
      <c r="A339" s="8" t="s">
        <v>72</v>
      </c>
      <c r="B339" s="8" t="s">
        <v>79</v>
      </c>
      <c r="C339" s="8" t="s">
        <v>96</v>
      </c>
      <c r="D339" s="8" t="s">
        <v>128</v>
      </c>
      <c r="E339" s="8"/>
      <c r="F339" s="10" t="n">
        <v>25</v>
      </c>
      <c r="G339" s="8" t="s">
        <v>105</v>
      </c>
      <c r="H339" s="8" t="s">
        <v>164</v>
      </c>
    </row>
    <row r="340" customFormat="false" ht="17.15" hidden="false" customHeight="false" outlineLevel="0" collapsed="false">
      <c r="A340" s="8" t="s">
        <v>72</v>
      </c>
      <c r="B340" s="8" t="s">
        <v>79</v>
      </c>
      <c r="C340" s="8" t="s">
        <v>96</v>
      </c>
      <c r="D340" s="8" t="s">
        <v>129</v>
      </c>
      <c r="E340" s="8"/>
      <c r="F340" s="10" t="n">
        <v>44</v>
      </c>
      <c r="G340" s="8" t="s">
        <v>105</v>
      </c>
      <c r="H340" s="8" t="s">
        <v>164</v>
      </c>
    </row>
    <row r="341" customFormat="false" ht="17.15" hidden="false" customHeight="false" outlineLevel="0" collapsed="false">
      <c r="A341" s="8" t="s">
        <v>72</v>
      </c>
      <c r="B341" s="8" t="s">
        <v>79</v>
      </c>
      <c r="C341" s="8" t="s">
        <v>96</v>
      </c>
      <c r="D341" s="8" t="s">
        <v>130</v>
      </c>
      <c r="E341" s="8"/>
      <c r="F341" s="10" t="n">
        <v>24</v>
      </c>
      <c r="G341" s="8" t="s">
        <v>105</v>
      </c>
      <c r="H341" s="8" t="s">
        <v>164</v>
      </c>
    </row>
    <row r="342" customFormat="false" ht="17.15" hidden="false" customHeight="false" outlineLevel="0" collapsed="false">
      <c r="A342" s="8" t="s">
        <v>72</v>
      </c>
      <c r="B342" s="8" t="s">
        <v>79</v>
      </c>
      <c r="C342" s="8" t="s">
        <v>96</v>
      </c>
      <c r="D342" s="8" t="s">
        <v>131</v>
      </c>
      <c r="E342" s="8"/>
      <c r="F342" s="10" t="n">
        <v>784</v>
      </c>
      <c r="G342" s="8" t="s">
        <v>105</v>
      </c>
      <c r="H342" s="8" t="s">
        <v>164</v>
      </c>
    </row>
  </sheetData>
  <autoFilter ref="A1:H342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H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8"/>
    <col collapsed="false" customWidth="true" hidden="false" outlineLevel="0" max="8" min="8" style="0" width="42"/>
  </cols>
  <sheetData>
    <row r="1" customFormat="false" ht="19.7" hidden="false" customHeight="false" outlineLevel="0" collapsed="false">
      <c r="A1" s="5" t="s">
        <v>165</v>
      </c>
      <c r="B1" s="5"/>
      <c r="C1" s="5"/>
      <c r="D1" s="5"/>
      <c r="E1" s="5"/>
      <c r="F1" s="5"/>
      <c r="G1" s="5"/>
      <c r="H1" s="5"/>
    </row>
    <row r="2" customFormat="false" ht="17.15" hidden="false" customHeight="false" outlineLevel="0" collapsed="false">
      <c r="A2" s="6" t="s">
        <v>18</v>
      </c>
      <c r="B2" s="6"/>
      <c r="C2" s="6"/>
      <c r="D2" s="6"/>
      <c r="E2" s="6"/>
      <c r="F2" s="6"/>
      <c r="G2" s="6"/>
      <c r="H2" s="6"/>
    </row>
    <row r="4" customFormat="false" ht="17.15" hidden="false" customHeight="false" outlineLevel="0" collapsed="false">
      <c r="A4" s="7" t="s">
        <v>19</v>
      </c>
      <c r="B4" s="7" t="s">
        <v>91</v>
      </c>
      <c r="C4" s="7" t="s">
        <v>92</v>
      </c>
      <c r="D4" s="7" t="s">
        <v>166</v>
      </c>
      <c r="E4" s="7" t="s">
        <v>167</v>
      </c>
      <c r="F4" s="7" t="s">
        <v>168</v>
      </c>
      <c r="G4" s="7" t="s">
        <v>169</v>
      </c>
      <c r="H4" s="7" t="s">
        <v>170</v>
      </c>
    </row>
    <row r="5" customFormat="false" ht="17.15" hidden="false" customHeight="false" outlineLevel="0" collapsed="false">
      <c r="A5" s="8" t="s">
        <v>30</v>
      </c>
      <c r="B5" s="8" t="s">
        <v>99</v>
      </c>
      <c r="C5" s="8" t="s">
        <v>99</v>
      </c>
      <c r="D5" s="8" t="n">
        <f aca="false">COUNTIF(원천_지역!$A$5:$A$342,A5)</f>
        <v>14</v>
      </c>
      <c r="E5" s="8" t="n">
        <f aca="false">COUNTIFS(원천_지역!$A$5:$A$342,A5,원천_지역!$C$5:$C$342,B5,원천_지역!$D$5:$D$342,C5)</f>
        <v>7</v>
      </c>
      <c r="F5" s="10" t="n">
        <f aca="false">SUMIFS(원천_지역!$F$5:$F$342,원천_지역!$A$5:$A$342,A5,원천_지역!$C$5:$C$342,B5,원천_지역!$D$5:$D$342,C5)</f>
        <v>570</v>
      </c>
      <c r="G5" s="10" t="n">
        <f aca="false">IFERROR(F5/E5,"")</f>
        <v>81.4285714285714</v>
      </c>
      <c r="H5" s="8" t="s">
        <v>171</v>
      </c>
    </row>
    <row r="6" customFormat="false" ht="17.15" hidden="false" customHeight="false" outlineLevel="0" collapsed="false">
      <c r="A6" s="8" t="s">
        <v>30</v>
      </c>
      <c r="B6" s="8" t="s">
        <v>96</v>
      </c>
      <c r="C6" s="8" t="s">
        <v>96</v>
      </c>
      <c r="D6" s="8" t="n">
        <f aca="false">COUNTIF(원천_지역!$A$5:$A$342,A6)</f>
        <v>14</v>
      </c>
      <c r="E6" s="8" t="n">
        <f aca="false">COUNTIFS(원천_지역!$A$5:$A$342,A6,원천_지역!$C$5:$C$342,B6,원천_지역!$D$5:$D$342,C6)</f>
        <v>7</v>
      </c>
      <c r="F6" s="10" t="n">
        <f aca="false">SUMIFS(원천_지역!$F$5:$F$342,원천_지역!$A$5:$A$342,A6,원천_지역!$C$5:$C$342,B6,원천_지역!$D$5:$D$342,C6)</f>
        <v>645</v>
      </c>
      <c r="G6" s="10" t="n">
        <f aca="false">IFERROR(F6/E6,"")</f>
        <v>92.1428571428571</v>
      </c>
      <c r="H6" s="8" t="s">
        <v>171</v>
      </c>
    </row>
    <row r="7" customFormat="false" ht="17.15" hidden="false" customHeight="false" outlineLevel="0" collapsed="false">
      <c r="A7" s="8" t="s">
        <v>43</v>
      </c>
      <c r="B7" s="8" t="s">
        <v>96</v>
      </c>
      <c r="C7" s="8" t="s">
        <v>104</v>
      </c>
      <c r="D7" s="8" t="n">
        <f aca="false">COUNTIF(원천_지역!$A$5:$A$342,A7)</f>
        <v>130</v>
      </c>
      <c r="E7" s="8" t="n">
        <f aca="false">COUNTIFS(원천_지역!$A$5:$A$342,A7,원천_지역!$C$5:$C$342,B7,원천_지역!$D$5:$D$342,C7)</f>
        <v>5</v>
      </c>
      <c r="F7" s="10" t="n">
        <f aca="false">SUMIFS(원천_지역!$F$5:$F$342,원천_지역!$A$5:$A$342,A7,원천_지역!$C$5:$C$342,B7,원천_지역!$D$5:$D$342,C7)</f>
        <v>74</v>
      </c>
      <c r="G7" s="10" t="n">
        <f aca="false">IFERROR(F7/E7,"")</f>
        <v>14.8</v>
      </c>
      <c r="H7" s="8" t="s">
        <v>171</v>
      </c>
    </row>
    <row r="8" customFormat="false" ht="17.15" hidden="false" customHeight="false" outlineLevel="0" collapsed="false">
      <c r="A8" s="8" t="s">
        <v>43</v>
      </c>
      <c r="B8" s="8" t="s">
        <v>96</v>
      </c>
      <c r="C8" s="8" t="s">
        <v>107</v>
      </c>
      <c r="D8" s="8" t="n">
        <f aca="false">COUNTIF(원천_지역!$A$5:$A$342,A8)</f>
        <v>130</v>
      </c>
      <c r="E8" s="8" t="n">
        <f aca="false">COUNTIFS(원천_지역!$A$5:$A$342,A8,원천_지역!$C$5:$C$342,B8,원천_지역!$D$5:$D$342,C8)</f>
        <v>5</v>
      </c>
      <c r="F8" s="10" t="n">
        <f aca="false">SUMIFS(원천_지역!$F$5:$F$342,원천_지역!$A$5:$A$342,A8,원천_지역!$C$5:$C$342,B8,원천_지역!$D$5:$D$342,C8)</f>
        <v>57</v>
      </c>
      <c r="G8" s="10" t="n">
        <f aca="false">IFERROR(F8/E8,"")</f>
        <v>11.4</v>
      </c>
      <c r="H8" s="8" t="s">
        <v>171</v>
      </c>
    </row>
    <row r="9" customFormat="false" ht="17.15" hidden="false" customHeight="false" outlineLevel="0" collapsed="false">
      <c r="A9" s="8" t="s">
        <v>43</v>
      </c>
      <c r="B9" s="8" t="s">
        <v>96</v>
      </c>
      <c r="C9" s="8" t="s">
        <v>108</v>
      </c>
      <c r="D9" s="8" t="n">
        <f aca="false">COUNTIF(원천_지역!$A$5:$A$342,A9)</f>
        <v>130</v>
      </c>
      <c r="E9" s="8" t="n">
        <f aca="false">COUNTIFS(원천_지역!$A$5:$A$342,A9,원천_지역!$C$5:$C$342,B9,원천_지역!$D$5:$D$342,C9)</f>
        <v>5</v>
      </c>
      <c r="F9" s="10" t="n">
        <f aca="false">SUMIFS(원천_지역!$F$5:$F$342,원천_지역!$A$5:$A$342,A9,원천_지역!$C$5:$C$342,B9,원천_지역!$D$5:$D$342,C9)</f>
        <v>33</v>
      </c>
      <c r="G9" s="10" t="n">
        <f aca="false">IFERROR(F9/E9,"")</f>
        <v>6.6</v>
      </c>
      <c r="H9" s="8" t="s">
        <v>171</v>
      </c>
    </row>
    <row r="10" customFormat="false" ht="17.15" hidden="false" customHeight="false" outlineLevel="0" collapsed="false">
      <c r="A10" s="8" t="s">
        <v>43</v>
      </c>
      <c r="B10" s="8" t="s">
        <v>96</v>
      </c>
      <c r="C10" s="8" t="s">
        <v>109</v>
      </c>
      <c r="D10" s="8" t="n">
        <f aca="false">COUNTIF(원천_지역!$A$5:$A$342,A10)</f>
        <v>130</v>
      </c>
      <c r="E10" s="8" t="n">
        <f aca="false">COUNTIFS(원천_지역!$A$5:$A$342,A10,원천_지역!$C$5:$C$342,B10,원천_지역!$D$5:$D$342,C10)</f>
        <v>5</v>
      </c>
      <c r="F10" s="10" t="n">
        <f aca="false">SUMIFS(원천_지역!$F$5:$F$342,원천_지역!$A$5:$A$342,A10,원천_지역!$C$5:$C$342,B10,원천_지역!$D$5:$D$342,C10)</f>
        <v>61</v>
      </c>
      <c r="G10" s="10" t="n">
        <f aca="false">IFERROR(F10/E10,"")</f>
        <v>12.2</v>
      </c>
      <c r="H10" s="8" t="s">
        <v>171</v>
      </c>
    </row>
    <row r="11" customFormat="false" ht="17.15" hidden="false" customHeight="false" outlineLevel="0" collapsed="false">
      <c r="A11" s="8" t="s">
        <v>43</v>
      </c>
      <c r="B11" s="8" t="s">
        <v>96</v>
      </c>
      <c r="C11" s="8" t="s">
        <v>110</v>
      </c>
      <c r="D11" s="8" t="n">
        <f aca="false">COUNTIF(원천_지역!$A$5:$A$342,A11)</f>
        <v>130</v>
      </c>
      <c r="E11" s="8" t="n">
        <f aca="false">COUNTIFS(원천_지역!$A$5:$A$342,A11,원천_지역!$C$5:$C$342,B11,원천_지역!$D$5:$D$342,C11)</f>
        <v>5</v>
      </c>
      <c r="F11" s="10" t="n">
        <f aca="false">SUMIFS(원천_지역!$F$5:$F$342,원천_지역!$A$5:$A$342,A11,원천_지역!$C$5:$C$342,B11,원천_지역!$D$5:$D$342,C11)</f>
        <v>54</v>
      </c>
      <c r="G11" s="10" t="n">
        <f aca="false">IFERROR(F11/E11,"")</f>
        <v>10.8</v>
      </c>
      <c r="H11" s="8" t="s">
        <v>171</v>
      </c>
    </row>
    <row r="12" customFormat="false" ht="17.15" hidden="false" customHeight="false" outlineLevel="0" collapsed="false">
      <c r="A12" s="8" t="s">
        <v>43</v>
      </c>
      <c r="B12" s="8" t="s">
        <v>96</v>
      </c>
      <c r="C12" s="8" t="s">
        <v>111</v>
      </c>
      <c r="D12" s="8" t="n">
        <f aca="false">COUNTIF(원천_지역!$A$5:$A$342,A12)</f>
        <v>130</v>
      </c>
      <c r="E12" s="8" t="n">
        <f aca="false">COUNTIFS(원천_지역!$A$5:$A$342,A12,원천_지역!$C$5:$C$342,B12,원천_지역!$D$5:$D$342,C12)</f>
        <v>5</v>
      </c>
      <c r="F12" s="10" t="n">
        <f aca="false">SUMIFS(원천_지역!$F$5:$F$342,원천_지역!$A$5:$A$342,A12,원천_지역!$C$5:$C$342,B12,원천_지역!$D$5:$D$342,C12)</f>
        <v>41</v>
      </c>
      <c r="G12" s="10" t="n">
        <f aca="false">IFERROR(F12/E12,"")</f>
        <v>8.2</v>
      </c>
      <c r="H12" s="8" t="s">
        <v>171</v>
      </c>
    </row>
    <row r="13" customFormat="false" ht="17.15" hidden="false" customHeight="false" outlineLevel="0" collapsed="false">
      <c r="A13" s="8" t="s">
        <v>43</v>
      </c>
      <c r="B13" s="8" t="s">
        <v>96</v>
      </c>
      <c r="C13" s="8" t="s">
        <v>112</v>
      </c>
      <c r="D13" s="8" t="n">
        <f aca="false">COUNTIF(원천_지역!$A$5:$A$342,A13)</f>
        <v>130</v>
      </c>
      <c r="E13" s="8" t="n">
        <f aca="false">COUNTIFS(원천_지역!$A$5:$A$342,A13,원천_지역!$C$5:$C$342,B13,원천_지역!$D$5:$D$342,C13)</f>
        <v>5</v>
      </c>
      <c r="F13" s="10" t="n">
        <f aca="false">SUMIFS(원천_지역!$F$5:$F$342,원천_지역!$A$5:$A$342,A13,원천_지역!$C$5:$C$342,B13,원천_지역!$D$5:$D$342,C13)</f>
        <v>50</v>
      </c>
      <c r="G13" s="10" t="n">
        <f aca="false">IFERROR(F13/E13,"")</f>
        <v>10</v>
      </c>
      <c r="H13" s="8" t="s">
        <v>171</v>
      </c>
    </row>
    <row r="14" customFormat="false" ht="17.15" hidden="false" customHeight="false" outlineLevel="0" collapsed="false">
      <c r="A14" s="8" t="s">
        <v>43</v>
      </c>
      <c r="B14" s="8" t="s">
        <v>96</v>
      </c>
      <c r="C14" s="8" t="s">
        <v>113</v>
      </c>
      <c r="D14" s="8" t="n">
        <f aca="false">COUNTIF(원천_지역!$A$5:$A$342,A14)</f>
        <v>130</v>
      </c>
      <c r="E14" s="8" t="n">
        <f aca="false">COUNTIFS(원천_지역!$A$5:$A$342,A14,원천_지역!$C$5:$C$342,B14,원천_지역!$D$5:$D$342,C14)</f>
        <v>5</v>
      </c>
      <c r="F14" s="10" t="n">
        <f aca="false">SUMIFS(원천_지역!$F$5:$F$342,원천_지역!$A$5:$A$342,A14,원천_지역!$C$5:$C$342,B14,원천_지역!$D$5:$D$342,C14)</f>
        <v>30</v>
      </c>
      <c r="G14" s="10" t="n">
        <f aca="false">IFERROR(F14/E14,"")</f>
        <v>6</v>
      </c>
      <c r="H14" s="8" t="s">
        <v>171</v>
      </c>
    </row>
    <row r="15" customFormat="false" ht="17.15" hidden="false" customHeight="false" outlineLevel="0" collapsed="false">
      <c r="A15" s="8" t="s">
        <v>43</v>
      </c>
      <c r="B15" s="8" t="s">
        <v>96</v>
      </c>
      <c r="C15" s="8" t="s">
        <v>114</v>
      </c>
      <c r="D15" s="8" t="n">
        <f aca="false">COUNTIF(원천_지역!$A$5:$A$342,A15)</f>
        <v>130</v>
      </c>
      <c r="E15" s="8" t="n">
        <f aca="false">COUNTIFS(원천_지역!$A$5:$A$342,A15,원천_지역!$C$5:$C$342,B15,원천_지역!$D$5:$D$342,C15)</f>
        <v>5</v>
      </c>
      <c r="F15" s="10" t="n">
        <f aca="false">SUMIFS(원천_지역!$F$5:$F$342,원천_지역!$A$5:$A$342,A15,원천_지역!$C$5:$C$342,B15,원천_지역!$D$5:$D$342,C15)</f>
        <v>49</v>
      </c>
      <c r="G15" s="10" t="n">
        <f aca="false">IFERROR(F15/E15,"")</f>
        <v>9.8</v>
      </c>
      <c r="H15" s="8" t="s">
        <v>171</v>
      </c>
    </row>
    <row r="16" customFormat="false" ht="17.15" hidden="false" customHeight="false" outlineLevel="0" collapsed="false">
      <c r="A16" s="8" t="s">
        <v>43</v>
      </c>
      <c r="B16" s="8" t="s">
        <v>96</v>
      </c>
      <c r="C16" s="8" t="s">
        <v>115</v>
      </c>
      <c r="D16" s="8" t="n">
        <f aca="false">COUNTIF(원천_지역!$A$5:$A$342,A16)</f>
        <v>130</v>
      </c>
      <c r="E16" s="8" t="n">
        <f aca="false">COUNTIFS(원천_지역!$A$5:$A$342,A16,원천_지역!$C$5:$C$342,B16,원천_지역!$D$5:$D$342,C16)</f>
        <v>5</v>
      </c>
      <c r="F16" s="10" t="n">
        <f aca="false">SUMIFS(원천_지역!$F$5:$F$342,원천_지역!$A$5:$A$342,A16,원천_지역!$C$5:$C$342,B16,원천_지역!$D$5:$D$342,C16)</f>
        <v>36</v>
      </c>
      <c r="G16" s="10" t="n">
        <f aca="false">IFERROR(F16/E16,"")</f>
        <v>7.2</v>
      </c>
      <c r="H16" s="8" t="s">
        <v>171</v>
      </c>
    </row>
    <row r="17" customFormat="false" ht="17.15" hidden="false" customHeight="false" outlineLevel="0" collapsed="false">
      <c r="A17" s="8" t="s">
        <v>43</v>
      </c>
      <c r="B17" s="8" t="s">
        <v>96</v>
      </c>
      <c r="C17" s="8" t="s">
        <v>116</v>
      </c>
      <c r="D17" s="8" t="n">
        <f aca="false">COUNTIF(원천_지역!$A$5:$A$342,A17)</f>
        <v>130</v>
      </c>
      <c r="E17" s="8" t="n">
        <f aca="false">COUNTIFS(원천_지역!$A$5:$A$342,A17,원천_지역!$C$5:$C$342,B17,원천_지역!$D$5:$D$342,C17)</f>
        <v>5</v>
      </c>
      <c r="F17" s="10" t="n">
        <f aca="false">SUMIFS(원천_지역!$F$5:$F$342,원천_지역!$A$5:$A$342,A17,원천_지역!$C$5:$C$342,B17,원천_지역!$D$5:$D$342,C17)</f>
        <v>43</v>
      </c>
      <c r="G17" s="10" t="n">
        <f aca="false">IFERROR(F17/E17,"")</f>
        <v>8.6</v>
      </c>
      <c r="H17" s="8" t="s">
        <v>171</v>
      </c>
    </row>
    <row r="18" customFormat="false" ht="17.15" hidden="false" customHeight="false" outlineLevel="0" collapsed="false">
      <c r="A18" s="8" t="s">
        <v>43</v>
      </c>
      <c r="B18" s="8" t="s">
        <v>96</v>
      </c>
      <c r="C18" s="8" t="s">
        <v>117</v>
      </c>
      <c r="D18" s="8" t="n">
        <f aca="false">COUNTIF(원천_지역!$A$5:$A$342,A18)</f>
        <v>130</v>
      </c>
      <c r="E18" s="8" t="n">
        <f aca="false">COUNTIFS(원천_지역!$A$5:$A$342,A18,원천_지역!$C$5:$C$342,B18,원천_지역!$D$5:$D$342,C18)</f>
        <v>5</v>
      </c>
      <c r="F18" s="10" t="n">
        <f aca="false">SUMIFS(원천_지역!$F$5:$F$342,원천_지역!$A$5:$A$342,A18,원천_지역!$C$5:$C$342,B18,원천_지역!$D$5:$D$342,C18)</f>
        <v>41</v>
      </c>
      <c r="G18" s="10" t="n">
        <f aca="false">IFERROR(F18/E18,"")</f>
        <v>8.2</v>
      </c>
      <c r="H18" s="8" t="s">
        <v>171</v>
      </c>
    </row>
    <row r="19" customFormat="false" ht="17.15" hidden="false" customHeight="false" outlineLevel="0" collapsed="false">
      <c r="A19" s="8" t="s">
        <v>43</v>
      </c>
      <c r="B19" s="8" t="s">
        <v>96</v>
      </c>
      <c r="C19" s="8" t="s">
        <v>118</v>
      </c>
      <c r="D19" s="8" t="n">
        <f aca="false">COUNTIF(원천_지역!$A$5:$A$342,A19)</f>
        <v>130</v>
      </c>
      <c r="E19" s="8" t="n">
        <f aca="false">COUNTIFS(원천_지역!$A$5:$A$342,A19,원천_지역!$C$5:$C$342,B19,원천_지역!$D$5:$D$342,C19)</f>
        <v>5</v>
      </c>
      <c r="F19" s="10" t="n">
        <f aca="false">SUMIFS(원천_지역!$F$5:$F$342,원천_지역!$A$5:$A$342,A19,원천_지역!$C$5:$C$342,B19,원천_지역!$D$5:$D$342,C19)</f>
        <v>55</v>
      </c>
      <c r="G19" s="10" t="n">
        <f aca="false">IFERROR(F19/E19,"")</f>
        <v>11</v>
      </c>
      <c r="H19" s="8" t="s">
        <v>171</v>
      </c>
    </row>
    <row r="20" customFormat="false" ht="17.15" hidden="false" customHeight="false" outlineLevel="0" collapsed="false">
      <c r="A20" s="8" t="s">
        <v>43</v>
      </c>
      <c r="B20" s="8" t="s">
        <v>96</v>
      </c>
      <c r="C20" s="8" t="s">
        <v>119</v>
      </c>
      <c r="D20" s="8" t="n">
        <f aca="false">COUNTIF(원천_지역!$A$5:$A$342,A20)</f>
        <v>130</v>
      </c>
      <c r="E20" s="8" t="n">
        <f aca="false">COUNTIFS(원천_지역!$A$5:$A$342,A20,원천_지역!$C$5:$C$342,B20,원천_지역!$D$5:$D$342,C20)</f>
        <v>5</v>
      </c>
      <c r="F20" s="10" t="n">
        <f aca="false">SUMIFS(원천_지역!$F$5:$F$342,원천_지역!$A$5:$A$342,A20,원천_지역!$C$5:$C$342,B20,원천_지역!$D$5:$D$342,C20)</f>
        <v>39</v>
      </c>
      <c r="G20" s="10" t="n">
        <f aca="false">IFERROR(F20/E20,"")</f>
        <v>7.8</v>
      </c>
      <c r="H20" s="8" t="s">
        <v>171</v>
      </c>
    </row>
    <row r="21" customFormat="false" ht="17.15" hidden="false" customHeight="false" outlineLevel="0" collapsed="false">
      <c r="A21" s="8" t="s">
        <v>43</v>
      </c>
      <c r="B21" s="8" t="s">
        <v>96</v>
      </c>
      <c r="C21" s="8" t="s">
        <v>120</v>
      </c>
      <c r="D21" s="8" t="n">
        <f aca="false">COUNTIF(원천_지역!$A$5:$A$342,A21)</f>
        <v>130</v>
      </c>
      <c r="E21" s="8" t="n">
        <f aca="false">COUNTIFS(원천_지역!$A$5:$A$342,A21,원천_지역!$C$5:$C$342,B21,원천_지역!$D$5:$D$342,C21)</f>
        <v>5</v>
      </c>
      <c r="F21" s="10" t="n">
        <f aca="false">SUMIFS(원천_지역!$F$5:$F$342,원천_지역!$A$5:$A$342,A21,원천_지역!$C$5:$C$342,B21,원천_지역!$D$5:$D$342,C21)</f>
        <v>37</v>
      </c>
      <c r="G21" s="10" t="n">
        <f aca="false">IFERROR(F21/E21,"")</f>
        <v>7.4</v>
      </c>
      <c r="H21" s="8" t="s">
        <v>171</v>
      </c>
    </row>
    <row r="22" customFormat="false" ht="17.15" hidden="false" customHeight="false" outlineLevel="0" collapsed="false">
      <c r="A22" s="8" t="s">
        <v>43</v>
      </c>
      <c r="B22" s="8" t="s">
        <v>96</v>
      </c>
      <c r="C22" s="8" t="s">
        <v>121</v>
      </c>
      <c r="D22" s="8" t="n">
        <f aca="false">COUNTIF(원천_지역!$A$5:$A$342,A22)</f>
        <v>130</v>
      </c>
      <c r="E22" s="8" t="n">
        <f aca="false">COUNTIFS(원천_지역!$A$5:$A$342,A22,원천_지역!$C$5:$C$342,B22,원천_지역!$D$5:$D$342,C22)</f>
        <v>5</v>
      </c>
      <c r="F22" s="10" t="n">
        <f aca="false">SUMIFS(원천_지역!$F$5:$F$342,원천_지역!$A$5:$A$342,A22,원천_지역!$C$5:$C$342,B22,원천_지역!$D$5:$D$342,C22)</f>
        <v>30</v>
      </c>
      <c r="G22" s="10" t="n">
        <f aca="false">IFERROR(F22/E22,"")</f>
        <v>6</v>
      </c>
      <c r="H22" s="8" t="s">
        <v>171</v>
      </c>
    </row>
    <row r="23" customFormat="false" ht="17.15" hidden="false" customHeight="false" outlineLevel="0" collapsed="false">
      <c r="A23" s="8" t="s">
        <v>43</v>
      </c>
      <c r="B23" s="8" t="s">
        <v>96</v>
      </c>
      <c r="C23" s="8" t="s">
        <v>122</v>
      </c>
      <c r="D23" s="8" t="n">
        <f aca="false">COUNTIF(원천_지역!$A$5:$A$342,A23)</f>
        <v>130</v>
      </c>
      <c r="E23" s="8" t="n">
        <f aca="false">COUNTIFS(원천_지역!$A$5:$A$342,A23,원천_지역!$C$5:$C$342,B23,원천_지역!$D$5:$D$342,C23)</f>
        <v>5</v>
      </c>
      <c r="F23" s="10" t="n">
        <f aca="false">SUMIFS(원천_지역!$F$5:$F$342,원천_지역!$A$5:$A$342,A23,원천_지역!$C$5:$C$342,B23,원천_지역!$D$5:$D$342,C23)</f>
        <v>51</v>
      </c>
      <c r="G23" s="10" t="n">
        <f aca="false">IFERROR(F23/E23,"")</f>
        <v>10.2</v>
      </c>
      <c r="H23" s="8" t="s">
        <v>171</v>
      </c>
    </row>
    <row r="24" customFormat="false" ht="17.15" hidden="false" customHeight="false" outlineLevel="0" collapsed="false">
      <c r="A24" s="8" t="s">
        <v>43</v>
      </c>
      <c r="B24" s="8" t="s">
        <v>96</v>
      </c>
      <c r="C24" s="8" t="s">
        <v>123</v>
      </c>
      <c r="D24" s="8" t="n">
        <f aca="false">COUNTIF(원천_지역!$A$5:$A$342,A24)</f>
        <v>130</v>
      </c>
      <c r="E24" s="8" t="n">
        <f aca="false">COUNTIFS(원천_지역!$A$5:$A$342,A24,원천_지역!$C$5:$C$342,B24,원천_지역!$D$5:$D$342,C24)</f>
        <v>5</v>
      </c>
      <c r="F24" s="10" t="n">
        <f aca="false">SUMIFS(원천_지역!$F$5:$F$342,원천_지역!$A$5:$A$342,A24,원천_지역!$C$5:$C$342,B24,원천_지역!$D$5:$D$342,C24)</f>
        <v>80</v>
      </c>
      <c r="G24" s="10" t="n">
        <f aca="false">IFERROR(F24/E24,"")</f>
        <v>16</v>
      </c>
      <c r="H24" s="8" t="s">
        <v>171</v>
      </c>
    </row>
    <row r="25" customFormat="false" ht="17.15" hidden="false" customHeight="false" outlineLevel="0" collapsed="false">
      <c r="A25" s="8" t="s">
        <v>43</v>
      </c>
      <c r="B25" s="8" t="s">
        <v>96</v>
      </c>
      <c r="C25" s="8" t="s">
        <v>124</v>
      </c>
      <c r="D25" s="8" t="n">
        <f aca="false">COUNTIF(원천_지역!$A$5:$A$342,A25)</f>
        <v>130</v>
      </c>
      <c r="E25" s="8" t="n">
        <f aca="false">COUNTIFS(원천_지역!$A$5:$A$342,A25,원천_지역!$C$5:$C$342,B25,원천_지역!$D$5:$D$342,C25)</f>
        <v>5</v>
      </c>
      <c r="F25" s="10" t="n">
        <f aca="false">SUMIFS(원천_지역!$F$5:$F$342,원천_지역!$A$5:$A$342,A25,원천_지역!$C$5:$C$342,B25,원천_지역!$D$5:$D$342,C25)</f>
        <v>51</v>
      </c>
      <c r="G25" s="10" t="n">
        <f aca="false">IFERROR(F25/E25,"")</f>
        <v>10.2</v>
      </c>
      <c r="H25" s="8" t="s">
        <v>171</v>
      </c>
    </row>
    <row r="26" customFormat="false" ht="17.15" hidden="false" customHeight="false" outlineLevel="0" collapsed="false">
      <c r="A26" s="8" t="s">
        <v>43</v>
      </c>
      <c r="B26" s="8" t="s">
        <v>96</v>
      </c>
      <c r="C26" s="8" t="s">
        <v>125</v>
      </c>
      <c r="D26" s="8" t="n">
        <f aca="false">COUNTIF(원천_지역!$A$5:$A$342,A26)</f>
        <v>130</v>
      </c>
      <c r="E26" s="8" t="n">
        <f aca="false">COUNTIFS(원천_지역!$A$5:$A$342,A26,원천_지역!$C$5:$C$342,B26,원천_지역!$D$5:$D$342,C26)</f>
        <v>5</v>
      </c>
      <c r="F26" s="10" t="n">
        <f aca="false">SUMIFS(원천_지역!$F$5:$F$342,원천_지역!$A$5:$A$342,A26,원천_지역!$C$5:$C$342,B26,원천_지역!$D$5:$D$342,C26)</f>
        <v>54</v>
      </c>
      <c r="G26" s="10" t="n">
        <f aca="false">IFERROR(F26/E26,"")</f>
        <v>10.8</v>
      </c>
      <c r="H26" s="8" t="s">
        <v>171</v>
      </c>
    </row>
    <row r="27" customFormat="false" ht="17.15" hidden="false" customHeight="false" outlineLevel="0" collapsed="false">
      <c r="A27" s="8" t="s">
        <v>43</v>
      </c>
      <c r="B27" s="8" t="s">
        <v>96</v>
      </c>
      <c r="C27" s="8" t="s">
        <v>126</v>
      </c>
      <c r="D27" s="8" t="n">
        <f aca="false">COUNTIF(원천_지역!$A$5:$A$342,A27)</f>
        <v>130</v>
      </c>
      <c r="E27" s="8" t="n">
        <f aca="false">COUNTIFS(원천_지역!$A$5:$A$342,A27,원천_지역!$C$5:$C$342,B27,원천_지역!$D$5:$D$342,C27)</f>
        <v>5</v>
      </c>
      <c r="F27" s="10" t="n">
        <f aca="false">SUMIFS(원천_지역!$F$5:$F$342,원천_지역!$A$5:$A$342,A27,원천_지역!$C$5:$C$342,B27,원천_지역!$D$5:$D$342,C27)</f>
        <v>20</v>
      </c>
      <c r="G27" s="10" t="n">
        <f aca="false">IFERROR(F27/E27,"")</f>
        <v>4</v>
      </c>
      <c r="H27" s="8" t="s">
        <v>171</v>
      </c>
    </row>
    <row r="28" customFormat="false" ht="17.15" hidden="false" customHeight="false" outlineLevel="0" collapsed="false">
      <c r="A28" s="8" t="s">
        <v>43</v>
      </c>
      <c r="B28" s="8" t="s">
        <v>96</v>
      </c>
      <c r="C28" s="8" t="s">
        <v>127</v>
      </c>
      <c r="D28" s="8" t="n">
        <f aca="false">COUNTIF(원천_지역!$A$5:$A$342,A28)</f>
        <v>130</v>
      </c>
      <c r="E28" s="8" t="n">
        <f aca="false">COUNTIFS(원천_지역!$A$5:$A$342,A28,원천_지역!$C$5:$C$342,B28,원천_지역!$D$5:$D$342,C28)</f>
        <v>5</v>
      </c>
      <c r="F28" s="10" t="n">
        <f aca="false">SUMIFS(원천_지역!$F$5:$F$342,원천_지역!$A$5:$A$342,A28,원천_지역!$C$5:$C$342,B28,원천_지역!$D$5:$D$342,C28)</f>
        <v>55</v>
      </c>
      <c r="G28" s="10" t="n">
        <f aca="false">IFERROR(F28/E28,"")</f>
        <v>11</v>
      </c>
      <c r="H28" s="8" t="s">
        <v>171</v>
      </c>
    </row>
    <row r="29" customFormat="false" ht="17.15" hidden="false" customHeight="false" outlineLevel="0" collapsed="false">
      <c r="A29" s="8" t="s">
        <v>43</v>
      </c>
      <c r="B29" s="8" t="s">
        <v>96</v>
      </c>
      <c r="C29" s="8" t="s">
        <v>128</v>
      </c>
      <c r="D29" s="8" t="n">
        <f aca="false">COUNTIF(원천_지역!$A$5:$A$342,A29)</f>
        <v>130</v>
      </c>
      <c r="E29" s="8" t="n">
        <f aca="false">COUNTIFS(원천_지역!$A$5:$A$342,A29,원천_지역!$C$5:$C$342,B29,원천_지역!$D$5:$D$342,C29)</f>
        <v>5</v>
      </c>
      <c r="F29" s="10" t="n">
        <f aca="false">SUMIFS(원천_지역!$F$5:$F$342,원천_지역!$A$5:$A$342,A29,원천_지역!$C$5:$C$342,B29,원천_지역!$D$5:$D$342,C29)</f>
        <v>24</v>
      </c>
      <c r="G29" s="10" t="n">
        <f aca="false">IFERROR(F29/E29,"")</f>
        <v>4.8</v>
      </c>
      <c r="H29" s="8" t="s">
        <v>171</v>
      </c>
    </row>
    <row r="30" customFormat="false" ht="17.15" hidden="false" customHeight="false" outlineLevel="0" collapsed="false">
      <c r="A30" s="8" t="s">
        <v>43</v>
      </c>
      <c r="B30" s="8" t="s">
        <v>96</v>
      </c>
      <c r="C30" s="8" t="s">
        <v>129</v>
      </c>
      <c r="D30" s="8" t="n">
        <f aca="false">COUNTIF(원천_지역!$A$5:$A$342,A30)</f>
        <v>130</v>
      </c>
      <c r="E30" s="8" t="n">
        <f aca="false">COUNTIFS(원천_지역!$A$5:$A$342,A30,원천_지역!$C$5:$C$342,B30,원천_지역!$D$5:$D$342,C30)</f>
        <v>5</v>
      </c>
      <c r="F30" s="10" t="n">
        <f aca="false">SUMIFS(원천_지역!$F$5:$F$342,원천_지역!$A$5:$A$342,A30,원천_지역!$C$5:$C$342,B30,원천_지역!$D$5:$D$342,C30)</f>
        <v>26</v>
      </c>
      <c r="G30" s="10" t="n">
        <f aca="false">IFERROR(F30/E30,"")</f>
        <v>5.2</v>
      </c>
      <c r="H30" s="8" t="s">
        <v>171</v>
      </c>
    </row>
    <row r="31" customFormat="false" ht="17.15" hidden="false" customHeight="false" outlineLevel="0" collapsed="false">
      <c r="A31" s="8" t="s">
        <v>43</v>
      </c>
      <c r="B31" s="8" t="s">
        <v>96</v>
      </c>
      <c r="C31" s="8" t="s">
        <v>130</v>
      </c>
      <c r="D31" s="8" t="n">
        <f aca="false">COUNTIF(원천_지역!$A$5:$A$342,A31)</f>
        <v>130</v>
      </c>
      <c r="E31" s="8" t="n">
        <f aca="false">COUNTIFS(원천_지역!$A$5:$A$342,A31,원천_지역!$C$5:$C$342,B31,원천_지역!$D$5:$D$342,C31)</f>
        <v>5</v>
      </c>
      <c r="F31" s="10" t="n">
        <f aca="false">SUMIFS(원천_지역!$F$5:$F$342,원천_지역!$A$5:$A$342,A31,원천_지역!$C$5:$C$342,B31,원천_지역!$D$5:$D$342,C31)</f>
        <v>44</v>
      </c>
      <c r="G31" s="10" t="n">
        <f aca="false">IFERROR(F31/E31,"")</f>
        <v>8.8</v>
      </c>
      <c r="H31" s="8" t="s">
        <v>171</v>
      </c>
    </row>
    <row r="32" customFormat="false" ht="17.15" hidden="false" customHeight="false" outlineLevel="0" collapsed="false">
      <c r="A32" s="8" t="s">
        <v>43</v>
      </c>
      <c r="B32" s="8" t="s">
        <v>96</v>
      </c>
      <c r="C32" s="8" t="s">
        <v>131</v>
      </c>
      <c r="D32" s="8" t="n">
        <f aca="false">COUNTIF(원천_지역!$A$5:$A$342,A32)</f>
        <v>130</v>
      </c>
      <c r="E32" s="8" t="n">
        <f aca="false">COUNTIFS(원천_지역!$A$5:$A$342,A32,원천_지역!$C$5:$C$342,B32,원천_지역!$D$5:$D$342,C32)</f>
        <v>5</v>
      </c>
      <c r="F32" s="10" t="n">
        <f aca="false">SUMIFS(원천_지역!$F$5:$F$342,원천_지역!$A$5:$A$342,A32,원천_지역!$C$5:$C$342,B32,원천_지역!$D$5:$D$342,C32)</f>
        <v>1135</v>
      </c>
      <c r="G32" s="10" t="n">
        <f aca="false">IFERROR(F32/E32,"")</f>
        <v>227</v>
      </c>
      <c r="H32" s="8" t="s">
        <v>171</v>
      </c>
    </row>
    <row r="33" customFormat="false" ht="17.15" hidden="false" customHeight="false" outlineLevel="0" collapsed="false">
      <c r="A33" s="8" t="s">
        <v>60</v>
      </c>
      <c r="B33" s="8" t="s">
        <v>140</v>
      </c>
      <c r="C33" s="8" t="s">
        <v>148</v>
      </c>
      <c r="D33" s="8" t="n">
        <f aca="false">COUNTIF(원천_지역!$A$5:$A$342,A33)</f>
        <v>90</v>
      </c>
      <c r="E33" s="8" t="n">
        <f aca="false">COUNTIFS(원천_지역!$A$5:$A$342,A33,원천_지역!$C$5:$C$342,B33,원천_지역!$D$5:$D$342,C33)</f>
        <v>5</v>
      </c>
      <c r="F33" s="10" t="n">
        <f aca="false">SUMIFS(원천_지역!$F$5:$F$342,원천_지역!$A$5:$A$342,A33,원천_지역!$C$5:$C$342,B33,원천_지역!$D$5:$D$342,C33)</f>
        <v>448</v>
      </c>
      <c r="G33" s="10" t="n">
        <f aca="false">IFERROR(F33/E33,"")</f>
        <v>89.6</v>
      </c>
      <c r="H33" s="8" t="s">
        <v>171</v>
      </c>
    </row>
    <row r="34" customFormat="false" ht="17.15" hidden="false" customHeight="false" outlineLevel="0" collapsed="false">
      <c r="A34" s="8" t="s">
        <v>60</v>
      </c>
      <c r="B34" s="8" t="s">
        <v>140</v>
      </c>
      <c r="C34" s="8" t="s">
        <v>99</v>
      </c>
      <c r="D34" s="8" t="n">
        <f aca="false">COUNTIF(원천_지역!$A$5:$A$342,A34)</f>
        <v>90</v>
      </c>
      <c r="E34" s="8" t="n">
        <f aca="false">COUNTIFS(원천_지역!$A$5:$A$342,A34,원천_지역!$C$5:$C$342,B34,원천_지역!$D$5:$D$342,C34)</f>
        <v>5</v>
      </c>
      <c r="F34" s="10" t="n">
        <f aca="false">SUMIFS(원천_지역!$F$5:$F$342,원천_지역!$A$5:$A$342,A34,원천_지역!$C$5:$C$342,B34,원천_지역!$D$5:$D$342,C34)</f>
        <v>3230</v>
      </c>
      <c r="G34" s="10" t="n">
        <f aca="false">IFERROR(F34/E34,"")</f>
        <v>646</v>
      </c>
      <c r="H34" s="8" t="s">
        <v>171</v>
      </c>
    </row>
    <row r="35" customFormat="false" ht="17.15" hidden="false" customHeight="false" outlineLevel="0" collapsed="false">
      <c r="A35" s="8" t="s">
        <v>60</v>
      </c>
      <c r="B35" s="8" t="s">
        <v>140</v>
      </c>
      <c r="C35" s="8" t="s">
        <v>154</v>
      </c>
      <c r="D35" s="8" t="n">
        <f aca="false">COUNTIF(원천_지역!$A$5:$A$342,A35)</f>
        <v>90</v>
      </c>
      <c r="E35" s="8" t="n">
        <f aca="false">COUNTIFS(원천_지역!$A$5:$A$342,A35,원천_지역!$C$5:$C$342,B35,원천_지역!$D$5:$D$342,C35)</f>
        <v>5</v>
      </c>
      <c r="F35" s="10" t="n">
        <f aca="false">SUMIFS(원천_지역!$F$5:$F$342,원천_지역!$A$5:$A$342,A35,원천_지역!$C$5:$C$342,B35,원천_지역!$D$5:$D$342,C35)</f>
        <v>582</v>
      </c>
      <c r="G35" s="10" t="n">
        <f aca="false">IFERROR(F35/E35,"")</f>
        <v>116.4</v>
      </c>
      <c r="H35" s="8" t="s">
        <v>171</v>
      </c>
    </row>
    <row r="36" customFormat="false" ht="17.15" hidden="false" customHeight="false" outlineLevel="0" collapsed="false">
      <c r="A36" s="8" t="s">
        <v>60</v>
      </c>
      <c r="B36" s="8" t="s">
        <v>140</v>
      </c>
      <c r="C36" s="8" t="s">
        <v>153</v>
      </c>
      <c r="D36" s="8" t="n">
        <f aca="false">COUNTIF(원천_지역!$A$5:$A$342,A36)</f>
        <v>90</v>
      </c>
      <c r="E36" s="8" t="n">
        <f aca="false">COUNTIFS(원천_지역!$A$5:$A$342,A36,원천_지역!$C$5:$C$342,B36,원천_지역!$D$5:$D$342,C36)</f>
        <v>5</v>
      </c>
      <c r="F36" s="10" t="n">
        <f aca="false">SUMIFS(원천_지역!$F$5:$F$342,원천_지역!$A$5:$A$342,A36,원천_지역!$C$5:$C$342,B36,원천_지역!$D$5:$D$342,C36)</f>
        <v>419</v>
      </c>
      <c r="G36" s="10" t="n">
        <f aca="false">IFERROR(F36/E36,"")</f>
        <v>83.8</v>
      </c>
      <c r="H36" s="8" t="s">
        <v>171</v>
      </c>
    </row>
    <row r="37" customFormat="false" ht="17.15" hidden="false" customHeight="false" outlineLevel="0" collapsed="false">
      <c r="A37" s="8" t="s">
        <v>60</v>
      </c>
      <c r="B37" s="8" t="s">
        <v>140</v>
      </c>
      <c r="C37" s="8" t="s">
        <v>144</v>
      </c>
      <c r="D37" s="8" t="n">
        <f aca="false">COUNTIF(원천_지역!$A$5:$A$342,A37)</f>
        <v>90</v>
      </c>
      <c r="E37" s="8" t="n">
        <f aca="false">COUNTIFS(원천_지역!$A$5:$A$342,A37,원천_지역!$C$5:$C$342,B37,원천_지역!$D$5:$D$342,C37)</f>
        <v>5</v>
      </c>
      <c r="F37" s="10" t="n">
        <f aca="false">SUMIFS(원천_지역!$F$5:$F$342,원천_지역!$A$5:$A$342,A37,원천_지역!$C$5:$C$342,B37,원천_지역!$D$5:$D$342,C37)</f>
        <v>441</v>
      </c>
      <c r="G37" s="10" t="n">
        <f aca="false">IFERROR(F37/E37,"")</f>
        <v>88.2</v>
      </c>
      <c r="H37" s="8" t="s">
        <v>171</v>
      </c>
    </row>
    <row r="38" customFormat="false" ht="17.15" hidden="false" customHeight="false" outlineLevel="0" collapsed="false">
      <c r="A38" s="8" t="s">
        <v>60</v>
      </c>
      <c r="B38" s="8" t="s">
        <v>140</v>
      </c>
      <c r="C38" s="8" t="s">
        <v>142</v>
      </c>
      <c r="D38" s="8" t="n">
        <f aca="false">COUNTIF(원천_지역!$A$5:$A$342,A38)</f>
        <v>90</v>
      </c>
      <c r="E38" s="8" t="n">
        <f aca="false">COUNTIFS(원천_지역!$A$5:$A$342,A38,원천_지역!$C$5:$C$342,B38,원천_지역!$D$5:$D$342,C38)</f>
        <v>5</v>
      </c>
      <c r="F38" s="10" t="n">
        <f aca="false">SUMIFS(원천_지역!$F$5:$F$342,원천_지역!$A$5:$A$342,A38,원천_지역!$C$5:$C$342,B38,원천_지역!$D$5:$D$342,C38)</f>
        <v>395</v>
      </c>
      <c r="G38" s="10" t="n">
        <f aca="false">IFERROR(F38/E38,"")</f>
        <v>79</v>
      </c>
      <c r="H38" s="8" t="s">
        <v>171</v>
      </c>
    </row>
    <row r="39" customFormat="false" ht="17.15" hidden="false" customHeight="false" outlineLevel="0" collapsed="false">
      <c r="A39" s="8" t="s">
        <v>60</v>
      </c>
      <c r="B39" s="8" t="s">
        <v>140</v>
      </c>
      <c r="C39" s="8" t="s">
        <v>145</v>
      </c>
      <c r="D39" s="8" t="n">
        <f aca="false">COUNTIF(원천_지역!$A$5:$A$342,A39)</f>
        <v>90</v>
      </c>
      <c r="E39" s="8" t="n">
        <f aca="false">COUNTIFS(원천_지역!$A$5:$A$342,A39,원천_지역!$C$5:$C$342,B39,원천_지역!$D$5:$D$342,C39)</f>
        <v>5</v>
      </c>
      <c r="F39" s="10" t="n">
        <f aca="false">SUMIFS(원천_지역!$F$5:$F$342,원천_지역!$A$5:$A$342,A39,원천_지역!$C$5:$C$342,B39,원천_지역!$D$5:$D$342,C39)</f>
        <v>375</v>
      </c>
      <c r="G39" s="10" t="n">
        <f aca="false">IFERROR(F39/E39,"")</f>
        <v>75</v>
      </c>
      <c r="H39" s="8" t="s">
        <v>171</v>
      </c>
    </row>
    <row r="40" customFormat="false" ht="17.15" hidden="false" customHeight="false" outlineLevel="0" collapsed="false">
      <c r="A40" s="8" t="s">
        <v>60</v>
      </c>
      <c r="B40" s="8" t="s">
        <v>140</v>
      </c>
      <c r="C40" s="8" t="s">
        <v>141</v>
      </c>
      <c r="D40" s="8" t="n">
        <f aca="false">COUNTIF(원천_지역!$A$5:$A$342,A40)</f>
        <v>90</v>
      </c>
      <c r="E40" s="8" t="n">
        <f aca="false">COUNTIFS(원천_지역!$A$5:$A$342,A40,원천_지역!$C$5:$C$342,B40,원천_지역!$D$5:$D$342,C40)</f>
        <v>5</v>
      </c>
      <c r="F40" s="10" t="n">
        <f aca="false">SUMIFS(원천_지역!$F$5:$F$342,원천_지역!$A$5:$A$342,A40,원천_지역!$C$5:$C$342,B40,원천_지역!$D$5:$D$342,C40)</f>
        <v>613</v>
      </c>
      <c r="G40" s="10" t="n">
        <f aca="false">IFERROR(F40/E40,"")</f>
        <v>122.6</v>
      </c>
      <c r="H40" s="8" t="s">
        <v>171</v>
      </c>
    </row>
    <row r="41" customFormat="false" ht="17.15" hidden="false" customHeight="false" outlineLevel="0" collapsed="false">
      <c r="A41" s="8" t="s">
        <v>60</v>
      </c>
      <c r="B41" s="8" t="s">
        <v>140</v>
      </c>
      <c r="C41" s="8" t="s">
        <v>96</v>
      </c>
      <c r="D41" s="8" t="n">
        <f aca="false">COUNTIF(원천_지역!$A$5:$A$342,A41)</f>
        <v>90</v>
      </c>
      <c r="E41" s="8" t="n">
        <f aca="false">COUNTIFS(원천_지역!$A$5:$A$342,A41,원천_지역!$C$5:$C$342,B41,원천_지역!$D$5:$D$342,C41)</f>
        <v>5</v>
      </c>
      <c r="F41" s="10" t="n">
        <f aca="false">SUMIFS(원천_지역!$F$5:$F$342,원천_지역!$A$5:$A$342,A41,원천_지역!$C$5:$C$342,B41,원천_지역!$D$5:$D$342,C41)</f>
        <v>2400</v>
      </c>
      <c r="G41" s="10" t="n">
        <f aca="false">IFERROR(F41/E41,"")</f>
        <v>480</v>
      </c>
      <c r="H41" s="8" t="s">
        <v>171</v>
      </c>
    </row>
    <row r="42" customFormat="false" ht="17.15" hidden="false" customHeight="false" outlineLevel="0" collapsed="false">
      <c r="A42" s="8" t="s">
        <v>60</v>
      </c>
      <c r="B42" s="8" t="s">
        <v>140</v>
      </c>
      <c r="C42" s="8" t="s">
        <v>147</v>
      </c>
      <c r="D42" s="8" t="n">
        <f aca="false">COUNTIF(원천_지역!$A$5:$A$342,A42)</f>
        <v>90</v>
      </c>
      <c r="E42" s="8" t="n">
        <f aca="false">COUNTIFS(원천_지역!$A$5:$A$342,A42,원천_지역!$C$5:$C$342,B42,원천_지역!$D$5:$D$342,C42)</f>
        <v>5</v>
      </c>
      <c r="F42" s="10" t="n">
        <f aca="false">SUMIFS(원천_지역!$F$5:$F$342,원천_지역!$A$5:$A$342,A42,원천_지역!$C$5:$C$342,B42,원천_지역!$D$5:$D$342,C42)</f>
        <v>91</v>
      </c>
      <c r="G42" s="10" t="n">
        <f aca="false">IFERROR(F42/E42,"")</f>
        <v>18.2</v>
      </c>
      <c r="H42" s="8" t="s">
        <v>171</v>
      </c>
    </row>
    <row r="43" customFormat="false" ht="17.15" hidden="false" customHeight="false" outlineLevel="0" collapsed="false">
      <c r="A43" s="8" t="s">
        <v>60</v>
      </c>
      <c r="B43" s="8" t="s">
        <v>140</v>
      </c>
      <c r="C43" s="8" t="s">
        <v>146</v>
      </c>
      <c r="D43" s="8" t="n">
        <f aca="false">COUNTIF(원천_지역!$A$5:$A$342,A43)</f>
        <v>90</v>
      </c>
      <c r="E43" s="8" t="n">
        <f aca="false">COUNTIFS(원천_지역!$A$5:$A$342,A43,원천_지역!$C$5:$C$342,B43,원천_지역!$D$5:$D$342,C43)</f>
        <v>5</v>
      </c>
      <c r="F43" s="10" t="n">
        <f aca="false">SUMIFS(원천_지역!$F$5:$F$342,원천_지역!$A$5:$A$342,A43,원천_지역!$C$5:$C$342,B43,원천_지역!$D$5:$D$342,C43)</f>
        <v>196</v>
      </c>
      <c r="G43" s="10" t="n">
        <f aca="false">IFERROR(F43/E43,"")</f>
        <v>39.2</v>
      </c>
      <c r="H43" s="8" t="s">
        <v>171</v>
      </c>
    </row>
    <row r="44" customFormat="false" ht="17.15" hidden="false" customHeight="false" outlineLevel="0" collapsed="false">
      <c r="A44" s="8" t="s">
        <v>60</v>
      </c>
      <c r="B44" s="8" t="s">
        <v>140</v>
      </c>
      <c r="C44" s="8" t="s">
        <v>143</v>
      </c>
      <c r="D44" s="8" t="n">
        <f aca="false">COUNTIF(원천_지역!$A$5:$A$342,A44)</f>
        <v>90</v>
      </c>
      <c r="E44" s="8" t="n">
        <f aca="false">COUNTIFS(원천_지역!$A$5:$A$342,A44,원천_지역!$C$5:$C$342,B44,원천_지역!$D$5:$D$342,C44)</f>
        <v>5</v>
      </c>
      <c r="F44" s="10" t="n">
        <f aca="false">SUMIFS(원천_지역!$F$5:$F$342,원천_지역!$A$5:$A$342,A44,원천_지역!$C$5:$C$342,B44,원천_지역!$D$5:$D$342,C44)</f>
        <v>910</v>
      </c>
      <c r="G44" s="10" t="n">
        <f aca="false">IFERROR(F44/E44,"")</f>
        <v>182</v>
      </c>
      <c r="H44" s="8" t="s">
        <v>171</v>
      </c>
    </row>
    <row r="45" customFormat="false" ht="17.15" hidden="false" customHeight="false" outlineLevel="0" collapsed="false">
      <c r="A45" s="8" t="s">
        <v>60</v>
      </c>
      <c r="B45" s="8" t="s">
        <v>140</v>
      </c>
      <c r="C45" s="8" t="s">
        <v>152</v>
      </c>
      <c r="D45" s="8" t="n">
        <f aca="false">COUNTIF(원천_지역!$A$5:$A$342,A45)</f>
        <v>90</v>
      </c>
      <c r="E45" s="8" t="n">
        <f aca="false">COUNTIFS(원천_지역!$A$5:$A$342,A45,원천_지역!$C$5:$C$342,B45,원천_지역!$D$5:$D$342,C45)</f>
        <v>5</v>
      </c>
      <c r="F45" s="10" t="n">
        <f aca="false">SUMIFS(원천_지역!$F$5:$F$342,원천_지역!$A$5:$A$342,A45,원천_지역!$C$5:$C$342,B45,원천_지역!$D$5:$D$342,C45)</f>
        <v>378</v>
      </c>
      <c r="G45" s="10" t="n">
        <f aca="false">IFERROR(F45/E45,"")</f>
        <v>75.6</v>
      </c>
      <c r="H45" s="8" t="s">
        <v>171</v>
      </c>
    </row>
    <row r="46" customFormat="false" ht="17.15" hidden="false" customHeight="false" outlineLevel="0" collapsed="false">
      <c r="A46" s="8" t="s">
        <v>60</v>
      </c>
      <c r="B46" s="8" t="s">
        <v>140</v>
      </c>
      <c r="C46" s="8" t="s">
        <v>151</v>
      </c>
      <c r="D46" s="8" t="n">
        <f aca="false">COUNTIF(원천_지역!$A$5:$A$342,A46)</f>
        <v>90</v>
      </c>
      <c r="E46" s="8" t="n">
        <f aca="false">COUNTIFS(원천_지역!$A$5:$A$342,A46,원천_지역!$C$5:$C$342,B46,원천_지역!$D$5:$D$342,C46)</f>
        <v>5</v>
      </c>
      <c r="F46" s="10" t="n">
        <f aca="false">SUMIFS(원천_지역!$F$5:$F$342,원천_지역!$A$5:$A$342,A46,원천_지역!$C$5:$C$342,B46,원천_지역!$D$5:$D$342,C46)</f>
        <v>334</v>
      </c>
      <c r="G46" s="10" t="n">
        <f aca="false">IFERROR(F46/E46,"")</f>
        <v>66.8</v>
      </c>
      <c r="H46" s="8" t="s">
        <v>171</v>
      </c>
    </row>
    <row r="47" customFormat="false" ht="17.15" hidden="false" customHeight="false" outlineLevel="0" collapsed="false">
      <c r="A47" s="8" t="s">
        <v>60</v>
      </c>
      <c r="B47" s="8" t="s">
        <v>140</v>
      </c>
      <c r="C47" s="8" t="s">
        <v>155</v>
      </c>
      <c r="D47" s="8" t="n">
        <f aca="false">COUNTIF(원천_지역!$A$5:$A$342,A47)</f>
        <v>90</v>
      </c>
      <c r="E47" s="8" t="n">
        <f aca="false">COUNTIFS(원천_지역!$A$5:$A$342,A47,원천_지역!$C$5:$C$342,B47,원천_지역!$D$5:$D$342,C47)</f>
        <v>5</v>
      </c>
      <c r="F47" s="10" t="n">
        <f aca="false">SUMIFS(원천_지역!$F$5:$F$342,원천_지역!$A$5:$A$342,A47,원천_지역!$C$5:$C$342,B47,원천_지역!$D$5:$D$342,C47)</f>
        <v>170</v>
      </c>
      <c r="G47" s="10" t="n">
        <f aca="false">IFERROR(F47/E47,"")</f>
        <v>34</v>
      </c>
      <c r="H47" s="8" t="s">
        <v>171</v>
      </c>
    </row>
    <row r="48" customFormat="false" ht="17.15" hidden="false" customHeight="false" outlineLevel="0" collapsed="false">
      <c r="A48" s="8" t="s">
        <v>60</v>
      </c>
      <c r="B48" s="8" t="s">
        <v>140</v>
      </c>
      <c r="C48" s="8" t="s">
        <v>150</v>
      </c>
      <c r="D48" s="8" t="n">
        <f aca="false">COUNTIF(원천_지역!$A$5:$A$342,A48)</f>
        <v>90</v>
      </c>
      <c r="E48" s="8" t="n">
        <f aca="false">COUNTIFS(원천_지역!$A$5:$A$342,A48,원천_지역!$C$5:$C$342,B48,원천_지역!$D$5:$D$342,C48)</f>
        <v>5</v>
      </c>
      <c r="F48" s="10" t="n">
        <f aca="false">SUMIFS(원천_지역!$F$5:$F$342,원천_지역!$A$5:$A$342,A48,원천_지역!$C$5:$C$342,B48,원천_지역!$D$5:$D$342,C48)</f>
        <v>433</v>
      </c>
      <c r="G48" s="10" t="n">
        <f aca="false">IFERROR(F48/E48,"")</f>
        <v>86.6</v>
      </c>
      <c r="H48" s="8" t="s">
        <v>171</v>
      </c>
    </row>
    <row r="49" customFormat="false" ht="17.15" hidden="false" customHeight="false" outlineLevel="0" collapsed="false">
      <c r="A49" s="8" t="s">
        <v>60</v>
      </c>
      <c r="B49" s="8" t="s">
        <v>140</v>
      </c>
      <c r="C49" s="8" t="s">
        <v>149</v>
      </c>
      <c r="D49" s="8" t="n">
        <f aca="false">COUNTIF(원천_지역!$A$5:$A$342,A49)</f>
        <v>90</v>
      </c>
      <c r="E49" s="8" t="n">
        <f aca="false">COUNTIFS(원천_지역!$A$5:$A$342,A49,원천_지역!$C$5:$C$342,B49,원천_지역!$D$5:$D$342,C49)</f>
        <v>5</v>
      </c>
      <c r="F49" s="10" t="n">
        <f aca="false">SUMIFS(원천_지역!$F$5:$F$342,원천_지역!$A$5:$A$342,A49,원천_지역!$C$5:$C$342,B49,원천_지역!$D$5:$D$342,C49)</f>
        <v>343</v>
      </c>
      <c r="G49" s="10" t="n">
        <f aca="false">IFERROR(F49/E49,"")</f>
        <v>68.6</v>
      </c>
      <c r="H49" s="8" t="s">
        <v>171</v>
      </c>
    </row>
    <row r="50" customFormat="false" ht="17.15" hidden="false" customHeight="false" outlineLevel="0" collapsed="false">
      <c r="A50" s="8" t="s">
        <v>60</v>
      </c>
      <c r="B50" s="8" t="s">
        <v>136</v>
      </c>
      <c r="C50" s="8" t="s">
        <v>137</v>
      </c>
      <c r="D50" s="8" t="n">
        <f aca="false">COUNTIF(원천_지역!$A$5:$A$342,A50)</f>
        <v>90</v>
      </c>
      <c r="E50" s="8" t="n">
        <f aca="false">COUNTIFS(원천_지역!$A$5:$A$342,A50,원천_지역!$C$5:$C$342,B50,원천_지역!$D$5:$D$342,C50)</f>
        <v>5</v>
      </c>
      <c r="F50" s="10" t="n">
        <f aca="false">SUMIFS(원천_지역!$F$5:$F$342,원천_지역!$A$5:$A$342,A50,원천_지역!$C$5:$C$342,B50,원천_지역!$D$5:$D$342,C50)</f>
        <v>11758</v>
      </c>
      <c r="G50" s="10" t="n">
        <f aca="false">IFERROR(F50/E50,"")</f>
        <v>2351.6</v>
      </c>
      <c r="H50" s="8" t="s">
        <v>171</v>
      </c>
    </row>
    <row r="51" customFormat="false" ht="17.15" hidden="false" customHeight="false" outlineLevel="0" collapsed="false">
      <c r="A51" s="8" t="s">
        <v>72</v>
      </c>
      <c r="B51" s="8" t="s">
        <v>96</v>
      </c>
      <c r="C51" s="8" t="s">
        <v>104</v>
      </c>
      <c r="D51" s="8" t="n">
        <f aca="false">COUNTIF(원천_지역!$A$5:$A$342,A51)</f>
        <v>104</v>
      </c>
      <c r="E51" s="8" t="n">
        <f aca="false">COUNTIFS(원천_지역!$A$5:$A$342,A51,원천_지역!$C$5:$C$342,B51,원천_지역!$D$5:$D$342,C51)</f>
        <v>4</v>
      </c>
      <c r="F51" s="10" t="n">
        <f aca="false">SUMIFS(원천_지역!$F$5:$F$342,원천_지역!$A$5:$A$342,A51,원천_지역!$C$5:$C$342,B51,원천_지역!$D$5:$D$342,C51)</f>
        <v>722</v>
      </c>
      <c r="G51" s="10" t="n">
        <f aca="false">IFERROR(F51/E51,"")</f>
        <v>180.5</v>
      </c>
      <c r="H51" s="8" t="s">
        <v>171</v>
      </c>
    </row>
    <row r="52" customFormat="false" ht="17.15" hidden="false" customHeight="false" outlineLevel="0" collapsed="false">
      <c r="A52" s="8" t="s">
        <v>72</v>
      </c>
      <c r="B52" s="8" t="s">
        <v>96</v>
      </c>
      <c r="C52" s="8" t="s">
        <v>107</v>
      </c>
      <c r="D52" s="8" t="n">
        <f aca="false">COUNTIF(원천_지역!$A$5:$A$342,A52)</f>
        <v>104</v>
      </c>
      <c r="E52" s="8" t="n">
        <f aca="false">COUNTIFS(원천_지역!$A$5:$A$342,A52,원천_지역!$C$5:$C$342,B52,원천_지역!$D$5:$D$342,C52)</f>
        <v>4</v>
      </c>
      <c r="F52" s="10" t="n">
        <f aca="false">SUMIFS(원천_지역!$F$5:$F$342,원천_지역!$A$5:$A$342,A52,원천_지역!$C$5:$C$342,B52,원천_지역!$D$5:$D$342,C52)</f>
        <v>338</v>
      </c>
      <c r="G52" s="10" t="n">
        <f aca="false">IFERROR(F52/E52,"")</f>
        <v>84.5</v>
      </c>
      <c r="H52" s="8" t="s">
        <v>171</v>
      </c>
    </row>
    <row r="53" customFormat="false" ht="17.15" hidden="false" customHeight="false" outlineLevel="0" collapsed="false">
      <c r="A53" s="8" t="s">
        <v>72</v>
      </c>
      <c r="B53" s="8" t="s">
        <v>96</v>
      </c>
      <c r="C53" s="8" t="s">
        <v>108</v>
      </c>
      <c r="D53" s="8" t="n">
        <f aca="false">COUNTIF(원천_지역!$A$5:$A$342,A53)</f>
        <v>104</v>
      </c>
      <c r="E53" s="8" t="n">
        <f aca="false">COUNTIFS(원천_지역!$A$5:$A$342,A53,원천_지역!$C$5:$C$342,B53,원천_지역!$D$5:$D$342,C53)</f>
        <v>4</v>
      </c>
      <c r="F53" s="10" t="n">
        <f aca="false">SUMIFS(원천_지역!$F$5:$F$342,원천_지역!$A$5:$A$342,A53,원천_지역!$C$5:$C$342,B53,원천_지역!$D$5:$D$342,C53)</f>
        <v>233</v>
      </c>
      <c r="G53" s="10" t="n">
        <f aca="false">IFERROR(F53/E53,"")</f>
        <v>58.25</v>
      </c>
      <c r="H53" s="8" t="s">
        <v>171</v>
      </c>
    </row>
    <row r="54" customFormat="false" ht="17.15" hidden="false" customHeight="false" outlineLevel="0" collapsed="false">
      <c r="A54" s="8" t="s">
        <v>72</v>
      </c>
      <c r="B54" s="8" t="s">
        <v>96</v>
      </c>
      <c r="C54" s="8" t="s">
        <v>109</v>
      </c>
      <c r="D54" s="8" t="n">
        <f aca="false">COUNTIF(원천_지역!$A$5:$A$342,A54)</f>
        <v>104</v>
      </c>
      <c r="E54" s="8" t="n">
        <f aca="false">COUNTIFS(원천_지역!$A$5:$A$342,A54,원천_지역!$C$5:$C$342,B54,원천_지역!$D$5:$D$342,C54)</f>
        <v>4</v>
      </c>
      <c r="F54" s="10" t="n">
        <f aca="false">SUMIFS(원천_지역!$F$5:$F$342,원천_지역!$A$5:$A$342,A54,원천_지역!$C$5:$C$342,B54,원천_지역!$D$5:$D$342,C54)</f>
        <v>503</v>
      </c>
      <c r="G54" s="10" t="n">
        <f aca="false">IFERROR(F54/E54,"")</f>
        <v>125.75</v>
      </c>
      <c r="H54" s="8" t="s">
        <v>171</v>
      </c>
    </row>
    <row r="55" customFormat="false" ht="17.15" hidden="false" customHeight="false" outlineLevel="0" collapsed="false">
      <c r="A55" s="8" t="s">
        <v>72</v>
      </c>
      <c r="B55" s="8" t="s">
        <v>96</v>
      </c>
      <c r="C55" s="8" t="s">
        <v>110</v>
      </c>
      <c r="D55" s="8" t="n">
        <f aca="false">COUNTIF(원천_지역!$A$5:$A$342,A55)</f>
        <v>104</v>
      </c>
      <c r="E55" s="8" t="n">
        <f aca="false">COUNTIFS(원천_지역!$A$5:$A$342,A55,원천_지역!$C$5:$C$342,B55,원천_지역!$D$5:$D$342,C55)</f>
        <v>4</v>
      </c>
      <c r="F55" s="10" t="n">
        <f aca="false">SUMIFS(원천_지역!$F$5:$F$342,원천_지역!$A$5:$A$342,A55,원천_지역!$C$5:$C$342,B55,원천_지역!$D$5:$D$342,C55)</f>
        <v>404</v>
      </c>
      <c r="G55" s="10" t="n">
        <f aca="false">IFERROR(F55/E55,"")</f>
        <v>101</v>
      </c>
      <c r="H55" s="8" t="s">
        <v>171</v>
      </c>
    </row>
    <row r="56" customFormat="false" ht="17.15" hidden="false" customHeight="false" outlineLevel="0" collapsed="false">
      <c r="A56" s="8" t="s">
        <v>72</v>
      </c>
      <c r="B56" s="8" t="s">
        <v>96</v>
      </c>
      <c r="C56" s="8" t="s">
        <v>111</v>
      </c>
      <c r="D56" s="8" t="n">
        <f aca="false">COUNTIF(원천_지역!$A$5:$A$342,A56)</f>
        <v>104</v>
      </c>
      <c r="E56" s="8" t="n">
        <f aca="false">COUNTIFS(원천_지역!$A$5:$A$342,A56,원천_지역!$C$5:$C$342,B56,원천_지역!$D$5:$D$342,C56)</f>
        <v>4</v>
      </c>
      <c r="F56" s="10" t="n">
        <f aca="false">SUMIFS(원천_지역!$F$5:$F$342,원천_지역!$A$5:$A$342,A56,원천_지역!$C$5:$C$342,B56,원천_지역!$D$5:$D$342,C56)</f>
        <v>321</v>
      </c>
      <c r="G56" s="10" t="n">
        <f aca="false">IFERROR(F56/E56,"")</f>
        <v>80.25</v>
      </c>
      <c r="H56" s="8" t="s">
        <v>171</v>
      </c>
    </row>
    <row r="57" customFormat="false" ht="17.15" hidden="false" customHeight="false" outlineLevel="0" collapsed="false">
      <c r="A57" s="8" t="s">
        <v>72</v>
      </c>
      <c r="B57" s="8" t="s">
        <v>96</v>
      </c>
      <c r="C57" s="8" t="s">
        <v>112</v>
      </c>
      <c r="D57" s="8" t="n">
        <f aca="false">COUNTIF(원천_지역!$A$5:$A$342,A57)</f>
        <v>104</v>
      </c>
      <c r="E57" s="8" t="n">
        <f aca="false">COUNTIFS(원천_지역!$A$5:$A$342,A57,원천_지역!$C$5:$C$342,B57,원천_지역!$D$5:$D$342,C57)</f>
        <v>4</v>
      </c>
      <c r="F57" s="10" t="n">
        <f aca="false">SUMIFS(원천_지역!$F$5:$F$342,원천_지역!$A$5:$A$342,A57,원천_지역!$C$5:$C$342,B57,원천_지역!$D$5:$D$342,C57)</f>
        <v>320</v>
      </c>
      <c r="G57" s="10" t="n">
        <f aca="false">IFERROR(F57/E57,"")</f>
        <v>80</v>
      </c>
      <c r="H57" s="8" t="s">
        <v>171</v>
      </c>
    </row>
    <row r="58" customFormat="false" ht="17.15" hidden="false" customHeight="false" outlineLevel="0" collapsed="false">
      <c r="A58" s="8" t="s">
        <v>72</v>
      </c>
      <c r="B58" s="8" t="s">
        <v>96</v>
      </c>
      <c r="C58" s="8" t="s">
        <v>113</v>
      </c>
      <c r="D58" s="8" t="n">
        <f aca="false">COUNTIF(원천_지역!$A$5:$A$342,A58)</f>
        <v>104</v>
      </c>
      <c r="E58" s="8" t="n">
        <f aca="false">COUNTIFS(원천_지역!$A$5:$A$342,A58,원천_지역!$C$5:$C$342,B58,원천_지역!$D$5:$D$342,C58)</f>
        <v>4</v>
      </c>
      <c r="F58" s="10" t="n">
        <f aca="false">SUMIFS(원천_지역!$F$5:$F$342,원천_지역!$A$5:$A$342,A58,원천_지역!$C$5:$C$342,B58,원천_지역!$D$5:$D$342,C58)</f>
        <v>278</v>
      </c>
      <c r="G58" s="10" t="n">
        <f aca="false">IFERROR(F58/E58,"")</f>
        <v>69.5</v>
      </c>
      <c r="H58" s="8" t="s">
        <v>171</v>
      </c>
    </row>
    <row r="59" customFormat="false" ht="17.15" hidden="false" customHeight="false" outlineLevel="0" collapsed="false">
      <c r="A59" s="8" t="s">
        <v>72</v>
      </c>
      <c r="B59" s="8" t="s">
        <v>96</v>
      </c>
      <c r="C59" s="8" t="s">
        <v>114</v>
      </c>
      <c r="D59" s="8" t="n">
        <f aca="false">COUNTIF(원천_지역!$A$5:$A$342,A59)</f>
        <v>104</v>
      </c>
      <c r="E59" s="8" t="n">
        <f aca="false">COUNTIFS(원천_지역!$A$5:$A$342,A59,원천_지역!$C$5:$C$342,B59,원천_지역!$D$5:$D$342,C59)</f>
        <v>4</v>
      </c>
      <c r="F59" s="10" t="n">
        <f aca="false">SUMIFS(원천_지역!$F$5:$F$342,원천_지역!$A$5:$A$342,A59,원천_지역!$C$5:$C$342,B59,원천_지역!$D$5:$D$342,C59)</f>
        <v>311</v>
      </c>
      <c r="G59" s="10" t="n">
        <f aca="false">IFERROR(F59/E59,"")</f>
        <v>77.75</v>
      </c>
      <c r="H59" s="8" t="s">
        <v>171</v>
      </c>
    </row>
    <row r="60" customFormat="false" ht="17.15" hidden="false" customHeight="false" outlineLevel="0" collapsed="false">
      <c r="A60" s="8" t="s">
        <v>72</v>
      </c>
      <c r="B60" s="8" t="s">
        <v>96</v>
      </c>
      <c r="C60" s="8" t="s">
        <v>115</v>
      </c>
      <c r="D60" s="8" t="n">
        <f aca="false">COUNTIF(원천_지역!$A$5:$A$342,A60)</f>
        <v>104</v>
      </c>
      <c r="E60" s="8" t="n">
        <f aca="false">COUNTIFS(원천_지역!$A$5:$A$342,A60,원천_지역!$C$5:$C$342,B60,원천_지역!$D$5:$D$342,C60)</f>
        <v>4</v>
      </c>
      <c r="F60" s="10" t="n">
        <f aca="false">SUMIFS(원천_지역!$F$5:$F$342,원천_지역!$A$5:$A$342,A60,원천_지역!$C$5:$C$342,B60,원천_지역!$D$5:$D$342,C60)</f>
        <v>220</v>
      </c>
      <c r="G60" s="10" t="n">
        <f aca="false">IFERROR(F60/E60,"")</f>
        <v>55</v>
      </c>
      <c r="H60" s="8" t="s">
        <v>171</v>
      </c>
    </row>
    <row r="61" customFormat="false" ht="17.15" hidden="false" customHeight="false" outlineLevel="0" collapsed="false">
      <c r="A61" s="8" t="s">
        <v>72</v>
      </c>
      <c r="B61" s="8" t="s">
        <v>96</v>
      </c>
      <c r="C61" s="8" t="s">
        <v>116</v>
      </c>
      <c r="D61" s="8" t="n">
        <f aca="false">COUNTIF(원천_지역!$A$5:$A$342,A61)</f>
        <v>104</v>
      </c>
      <c r="E61" s="8" t="n">
        <f aca="false">COUNTIFS(원천_지역!$A$5:$A$342,A61,원천_지역!$C$5:$C$342,B61,원천_지역!$D$5:$D$342,C61)</f>
        <v>4</v>
      </c>
      <c r="F61" s="10" t="n">
        <f aca="false">SUMIFS(원천_지역!$F$5:$F$342,원천_지역!$A$5:$A$342,A61,원천_지역!$C$5:$C$342,B61,원천_지역!$D$5:$D$342,C61)</f>
        <v>339</v>
      </c>
      <c r="G61" s="10" t="n">
        <f aca="false">IFERROR(F61/E61,"")</f>
        <v>84.75</v>
      </c>
      <c r="H61" s="8" t="s">
        <v>171</v>
      </c>
    </row>
    <row r="62" customFormat="false" ht="17.15" hidden="false" customHeight="false" outlineLevel="0" collapsed="false">
      <c r="A62" s="8" t="s">
        <v>72</v>
      </c>
      <c r="B62" s="8" t="s">
        <v>96</v>
      </c>
      <c r="C62" s="8" t="s">
        <v>117</v>
      </c>
      <c r="D62" s="8" t="n">
        <f aca="false">COUNTIF(원천_지역!$A$5:$A$342,A62)</f>
        <v>104</v>
      </c>
      <c r="E62" s="8" t="n">
        <f aca="false">COUNTIFS(원천_지역!$A$5:$A$342,A62,원천_지역!$C$5:$C$342,B62,원천_지역!$D$5:$D$342,C62)</f>
        <v>4</v>
      </c>
      <c r="F62" s="10" t="n">
        <f aca="false">SUMIFS(원천_지역!$F$5:$F$342,원천_지역!$A$5:$A$342,A62,원천_지역!$C$5:$C$342,B62,원천_지역!$D$5:$D$342,C62)</f>
        <v>290</v>
      </c>
      <c r="G62" s="10" t="n">
        <f aca="false">IFERROR(F62/E62,"")</f>
        <v>72.5</v>
      </c>
      <c r="H62" s="8" t="s">
        <v>171</v>
      </c>
    </row>
    <row r="63" customFormat="false" ht="17.15" hidden="false" customHeight="false" outlineLevel="0" collapsed="false">
      <c r="A63" s="8" t="s">
        <v>72</v>
      </c>
      <c r="B63" s="8" t="s">
        <v>96</v>
      </c>
      <c r="C63" s="8" t="s">
        <v>118</v>
      </c>
      <c r="D63" s="8" t="n">
        <f aca="false">COUNTIF(원천_지역!$A$5:$A$342,A63)</f>
        <v>104</v>
      </c>
      <c r="E63" s="8" t="n">
        <f aca="false">COUNTIFS(원천_지역!$A$5:$A$342,A63,원천_지역!$C$5:$C$342,B63,원천_지역!$D$5:$D$342,C63)</f>
        <v>4</v>
      </c>
      <c r="F63" s="10" t="n">
        <f aca="false">SUMIFS(원천_지역!$F$5:$F$342,원천_지역!$A$5:$A$342,A63,원천_지역!$C$5:$C$342,B63,원천_지역!$D$5:$D$342,C63)</f>
        <v>485</v>
      </c>
      <c r="G63" s="10" t="n">
        <f aca="false">IFERROR(F63/E63,"")</f>
        <v>121.25</v>
      </c>
      <c r="H63" s="8" t="s">
        <v>171</v>
      </c>
    </row>
    <row r="64" customFormat="false" ht="17.15" hidden="false" customHeight="false" outlineLevel="0" collapsed="false">
      <c r="A64" s="8" t="s">
        <v>72</v>
      </c>
      <c r="B64" s="8" t="s">
        <v>96</v>
      </c>
      <c r="C64" s="8" t="s">
        <v>119</v>
      </c>
      <c r="D64" s="8" t="n">
        <f aca="false">COUNTIF(원천_지역!$A$5:$A$342,A64)</f>
        <v>104</v>
      </c>
      <c r="E64" s="8" t="n">
        <f aca="false">COUNTIFS(원천_지역!$A$5:$A$342,A64,원천_지역!$C$5:$C$342,B64,원천_지역!$D$5:$D$342,C64)</f>
        <v>4</v>
      </c>
      <c r="F64" s="10" t="n">
        <f aca="false">SUMIFS(원천_지역!$F$5:$F$342,원천_지역!$A$5:$A$342,A64,원천_지역!$C$5:$C$342,B64,원천_지역!$D$5:$D$342,C64)</f>
        <v>302</v>
      </c>
      <c r="G64" s="10" t="n">
        <f aca="false">IFERROR(F64/E64,"")</f>
        <v>75.5</v>
      </c>
      <c r="H64" s="8" t="s">
        <v>171</v>
      </c>
    </row>
    <row r="65" customFormat="false" ht="17.15" hidden="false" customHeight="false" outlineLevel="0" collapsed="false">
      <c r="A65" s="8" t="s">
        <v>72</v>
      </c>
      <c r="B65" s="8" t="s">
        <v>96</v>
      </c>
      <c r="C65" s="8" t="s">
        <v>120</v>
      </c>
      <c r="D65" s="8" t="n">
        <f aca="false">COUNTIF(원천_지역!$A$5:$A$342,A65)</f>
        <v>104</v>
      </c>
      <c r="E65" s="8" t="n">
        <f aca="false">COUNTIFS(원천_지역!$A$5:$A$342,A65,원천_지역!$C$5:$C$342,B65,원천_지역!$D$5:$D$342,C65)</f>
        <v>4</v>
      </c>
      <c r="F65" s="10" t="n">
        <f aca="false">SUMIFS(원천_지역!$F$5:$F$342,원천_지역!$A$5:$A$342,A65,원천_지역!$C$5:$C$342,B65,원천_지역!$D$5:$D$342,C65)</f>
        <v>439</v>
      </c>
      <c r="G65" s="10" t="n">
        <f aca="false">IFERROR(F65/E65,"")</f>
        <v>109.75</v>
      </c>
      <c r="H65" s="8" t="s">
        <v>171</v>
      </c>
    </row>
    <row r="66" customFormat="false" ht="17.15" hidden="false" customHeight="false" outlineLevel="0" collapsed="false">
      <c r="A66" s="8" t="s">
        <v>72</v>
      </c>
      <c r="B66" s="8" t="s">
        <v>96</v>
      </c>
      <c r="C66" s="8" t="s">
        <v>121</v>
      </c>
      <c r="D66" s="8" t="n">
        <f aca="false">COUNTIF(원천_지역!$A$5:$A$342,A66)</f>
        <v>104</v>
      </c>
      <c r="E66" s="8" t="n">
        <f aca="false">COUNTIFS(원천_지역!$A$5:$A$342,A66,원천_지역!$C$5:$C$342,B66,원천_지역!$D$5:$D$342,C66)</f>
        <v>4</v>
      </c>
      <c r="F66" s="10" t="n">
        <f aca="false">SUMIFS(원천_지역!$F$5:$F$342,원천_지역!$A$5:$A$342,A66,원천_지역!$C$5:$C$342,B66,원천_지역!$D$5:$D$342,C66)</f>
        <v>271</v>
      </c>
      <c r="G66" s="10" t="n">
        <f aca="false">IFERROR(F66/E66,"")</f>
        <v>67.75</v>
      </c>
      <c r="H66" s="8" t="s">
        <v>171</v>
      </c>
    </row>
    <row r="67" customFormat="false" ht="17.15" hidden="false" customHeight="false" outlineLevel="0" collapsed="false">
      <c r="A67" s="8" t="s">
        <v>72</v>
      </c>
      <c r="B67" s="8" t="s">
        <v>96</v>
      </c>
      <c r="C67" s="8" t="s">
        <v>122</v>
      </c>
      <c r="D67" s="8" t="n">
        <f aca="false">COUNTIF(원천_지역!$A$5:$A$342,A67)</f>
        <v>104</v>
      </c>
      <c r="E67" s="8" t="n">
        <f aca="false">COUNTIFS(원천_지역!$A$5:$A$342,A67,원천_지역!$C$5:$C$342,B67,원천_지역!$D$5:$D$342,C67)</f>
        <v>4</v>
      </c>
      <c r="F67" s="10" t="n">
        <f aca="false">SUMIFS(원천_지역!$F$5:$F$342,원천_지역!$A$5:$A$342,A67,원천_지역!$C$5:$C$342,B67,원천_지역!$D$5:$D$342,C67)</f>
        <v>318</v>
      </c>
      <c r="G67" s="10" t="n">
        <f aca="false">IFERROR(F67/E67,"")</f>
        <v>79.5</v>
      </c>
      <c r="H67" s="8" t="s">
        <v>171</v>
      </c>
    </row>
    <row r="68" customFormat="false" ht="17.15" hidden="false" customHeight="false" outlineLevel="0" collapsed="false">
      <c r="A68" s="8" t="s">
        <v>72</v>
      </c>
      <c r="B68" s="8" t="s">
        <v>96</v>
      </c>
      <c r="C68" s="8" t="s">
        <v>123</v>
      </c>
      <c r="D68" s="8" t="n">
        <f aca="false">COUNTIF(원천_지역!$A$5:$A$342,A68)</f>
        <v>104</v>
      </c>
      <c r="E68" s="8" t="n">
        <f aca="false">COUNTIFS(원천_지역!$A$5:$A$342,A68,원천_지역!$C$5:$C$342,B68,원천_지역!$D$5:$D$342,C68)</f>
        <v>4</v>
      </c>
      <c r="F68" s="10" t="n">
        <f aca="false">SUMIFS(원천_지역!$F$5:$F$342,원천_지역!$A$5:$A$342,A68,원천_지역!$C$5:$C$342,B68,원천_지역!$D$5:$D$342,C68)</f>
        <v>525</v>
      </c>
      <c r="G68" s="10" t="n">
        <f aca="false">IFERROR(F68/E68,"")</f>
        <v>131.25</v>
      </c>
      <c r="H68" s="8" t="s">
        <v>171</v>
      </c>
    </row>
    <row r="69" customFormat="false" ht="17.15" hidden="false" customHeight="false" outlineLevel="0" collapsed="false">
      <c r="A69" s="8" t="s">
        <v>72</v>
      </c>
      <c r="B69" s="8" t="s">
        <v>96</v>
      </c>
      <c r="C69" s="8" t="s">
        <v>124</v>
      </c>
      <c r="D69" s="8" t="n">
        <f aca="false">COUNTIF(원천_지역!$A$5:$A$342,A69)</f>
        <v>104</v>
      </c>
      <c r="E69" s="8" t="n">
        <f aca="false">COUNTIFS(원천_지역!$A$5:$A$342,A69,원천_지역!$C$5:$C$342,B69,원천_지역!$D$5:$D$342,C69)</f>
        <v>4</v>
      </c>
      <c r="F69" s="10" t="n">
        <f aca="false">SUMIFS(원천_지역!$F$5:$F$342,원천_지역!$A$5:$A$342,A69,원천_지역!$C$5:$C$342,B69,원천_지역!$D$5:$D$342,C69)</f>
        <v>267</v>
      </c>
      <c r="G69" s="10" t="n">
        <f aca="false">IFERROR(F69/E69,"")</f>
        <v>66.75</v>
      </c>
      <c r="H69" s="8" t="s">
        <v>171</v>
      </c>
    </row>
    <row r="70" customFormat="false" ht="17.15" hidden="false" customHeight="false" outlineLevel="0" collapsed="false">
      <c r="A70" s="8" t="s">
        <v>72</v>
      </c>
      <c r="B70" s="8" t="s">
        <v>96</v>
      </c>
      <c r="C70" s="8" t="s">
        <v>125</v>
      </c>
      <c r="D70" s="8" t="n">
        <f aca="false">COUNTIF(원천_지역!$A$5:$A$342,A70)</f>
        <v>104</v>
      </c>
      <c r="E70" s="8" t="n">
        <f aca="false">COUNTIFS(원천_지역!$A$5:$A$342,A70,원천_지역!$C$5:$C$342,B70,원천_지역!$D$5:$D$342,C70)</f>
        <v>4</v>
      </c>
      <c r="F70" s="10" t="n">
        <f aca="false">SUMIFS(원천_지역!$F$5:$F$342,원천_지역!$A$5:$A$342,A70,원천_지역!$C$5:$C$342,B70,원천_지역!$D$5:$D$342,C70)</f>
        <v>452</v>
      </c>
      <c r="G70" s="10" t="n">
        <f aca="false">IFERROR(F70/E70,"")</f>
        <v>113</v>
      </c>
      <c r="H70" s="8" t="s">
        <v>171</v>
      </c>
    </row>
    <row r="71" customFormat="false" ht="17.15" hidden="false" customHeight="false" outlineLevel="0" collapsed="false">
      <c r="A71" s="8" t="s">
        <v>72</v>
      </c>
      <c r="B71" s="8" t="s">
        <v>96</v>
      </c>
      <c r="C71" s="8" t="s">
        <v>126</v>
      </c>
      <c r="D71" s="8" t="n">
        <f aca="false">COUNTIF(원천_지역!$A$5:$A$342,A71)</f>
        <v>104</v>
      </c>
      <c r="E71" s="8" t="n">
        <f aca="false">COUNTIFS(원천_지역!$A$5:$A$342,A71,원천_지역!$C$5:$C$342,B71,원천_지역!$D$5:$D$342,C71)</f>
        <v>4</v>
      </c>
      <c r="F71" s="10" t="n">
        <f aca="false">SUMIFS(원천_지역!$F$5:$F$342,원천_지역!$A$5:$A$342,A71,원천_지역!$C$5:$C$342,B71,원천_지역!$D$5:$D$342,C71)</f>
        <v>234</v>
      </c>
      <c r="G71" s="10" t="n">
        <f aca="false">IFERROR(F71/E71,"")</f>
        <v>58.5</v>
      </c>
      <c r="H71" s="8" t="s">
        <v>171</v>
      </c>
    </row>
    <row r="72" customFormat="false" ht="17.15" hidden="false" customHeight="false" outlineLevel="0" collapsed="false">
      <c r="A72" s="8" t="s">
        <v>72</v>
      </c>
      <c r="B72" s="8" t="s">
        <v>96</v>
      </c>
      <c r="C72" s="8" t="s">
        <v>127</v>
      </c>
      <c r="D72" s="8" t="n">
        <f aca="false">COUNTIF(원천_지역!$A$5:$A$342,A72)</f>
        <v>104</v>
      </c>
      <c r="E72" s="8" t="n">
        <f aca="false">COUNTIFS(원천_지역!$A$5:$A$342,A72,원천_지역!$C$5:$C$342,B72,원천_지역!$D$5:$D$342,C72)</f>
        <v>4</v>
      </c>
      <c r="F72" s="10" t="n">
        <f aca="false">SUMIFS(원천_지역!$F$5:$F$342,원천_지역!$A$5:$A$342,A72,원천_지역!$C$5:$C$342,B72,원천_지역!$D$5:$D$342,C72)</f>
        <v>329</v>
      </c>
      <c r="G72" s="10" t="n">
        <f aca="false">IFERROR(F72/E72,"")</f>
        <v>82.25</v>
      </c>
      <c r="H72" s="8" t="s">
        <v>171</v>
      </c>
    </row>
    <row r="73" customFormat="false" ht="17.15" hidden="false" customHeight="false" outlineLevel="0" collapsed="false">
      <c r="A73" s="8" t="s">
        <v>72</v>
      </c>
      <c r="B73" s="8" t="s">
        <v>96</v>
      </c>
      <c r="C73" s="8" t="s">
        <v>128</v>
      </c>
      <c r="D73" s="8" t="n">
        <f aca="false">COUNTIF(원천_지역!$A$5:$A$342,A73)</f>
        <v>104</v>
      </c>
      <c r="E73" s="8" t="n">
        <f aca="false">COUNTIFS(원천_지역!$A$5:$A$342,A73,원천_지역!$C$5:$C$342,B73,원천_지역!$D$5:$D$342,C73)</f>
        <v>4</v>
      </c>
      <c r="F73" s="10" t="n">
        <f aca="false">SUMIFS(원천_지역!$F$5:$F$342,원천_지역!$A$5:$A$342,A73,원천_지역!$C$5:$C$342,B73,원천_지역!$D$5:$D$342,C73)</f>
        <v>271</v>
      </c>
      <c r="G73" s="10" t="n">
        <f aca="false">IFERROR(F73/E73,"")</f>
        <v>67.75</v>
      </c>
      <c r="H73" s="8" t="s">
        <v>171</v>
      </c>
    </row>
    <row r="74" customFormat="false" ht="17.15" hidden="false" customHeight="false" outlineLevel="0" collapsed="false">
      <c r="A74" s="8" t="s">
        <v>72</v>
      </c>
      <c r="B74" s="8" t="s">
        <v>96</v>
      </c>
      <c r="C74" s="8" t="s">
        <v>129</v>
      </c>
      <c r="D74" s="8" t="n">
        <f aca="false">COUNTIF(원천_지역!$A$5:$A$342,A74)</f>
        <v>104</v>
      </c>
      <c r="E74" s="8" t="n">
        <f aca="false">COUNTIFS(원천_지역!$A$5:$A$342,A74,원천_지역!$C$5:$C$342,B74,원천_지역!$D$5:$D$342,C74)</f>
        <v>4</v>
      </c>
      <c r="F74" s="10" t="n">
        <f aca="false">SUMIFS(원천_지역!$F$5:$F$342,원천_지역!$A$5:$A$342,A74,원천_지역!$C$5:$C$342,B74,원천_지역!$D$5:$D$342,C74)</f>
        <v>346</v>
      </c>
      <c r="G74" s="10" t="n">
        <f aca="false">IFERROR(F74/E74,"")</f>
        <v>86.5</v>
      </c>
      <c r="H74" s="8" t="s">
        <v>171</v>
      </c>
    </row>
    <row r="75" customFormat="false" ht="17.15" hidden="false" customHeight="false" outlineLevel="0" collapsed="false">
      <c r="A75" s="8" t="s">
        <v>72</v>
      </c>
      <c r="B75" s="8" t="s">
        <v>96</v>
      </c>
      <c r="C75" s="8" t="s">
        <v>130</v>
      </c>
      <c r="D75" s="8" t="n">
        <f aca="false">COUNTIF(원천_지역!$A$5:$A$342,A75)</f>
        <v>104</v>
      </c>
      <c r="E75" s="8" t="n">
        <f aca="false">COUNTIFS(원천_지역!$A$5:$A$342,A75,원천_지역!$C$5:$C$342,B75,원천_지역!$D$5:$D$342,C75)</f>
        <v>4</v>
      </c>
      <c r="F75" s="10" t="n">
        <f aca="false">SUMIFS(원천_지역!$F$5:$F$342,원천_지역!$A$5:$A$342,A75,원천_지역!$C$5:$C$342,B75,원천_지역!$D$5:$D$342,C75)</f>
        <v>293</v>
      </c>
      <c r="G75" s="10" t="n">
        <f aca="false">IFERROR(F75/E75,"")</f>
        <v>73.25</v>
      </c>
      <c r="H75" s="8" t="s">
        <v>171</v>
      </c>
    </row>
    <row r="76" customFormat="false" ht="17.15" hidden="false" customHeight="false" outlineLevel="0" collapsed="false">
      <c r="A76" s="8" t="s">
        <v>72</v>
      </c>
      <c r="B76" s="8" t="s">
        <v>96</v>
      </c>
      <c r="C76" s="8" t="s">
        <v>131</v>
      </c>
      <c r="D76" s="8" t="n">
        <f aca="false">COUNTIF(원천_지역!$A$5:$A$342,A76)</f>
        <v>104</v>
      </c>
      <c r="E76" s="8" t="n">
        <f aca="false">COUNTIFS(원천_지역!$A$5:$A$342,A76,원천_지역!$C$5:$C$342,B76,원천_지역!$D$5:$D$342,C76)</f>
        <v>4</v>
      </c>
      <c r="F76" s="10" t="n">
        <f aca="false">SUMIFS(원천_지역!$F$5:$F$342,원천_지역!$A$5:$A$342,A76,원천_지역!$C$5:$C$342,B76,원천_지역!$D$5:$D$342,C76)</f>
        <v>8811</v>
      </c>
      <c r="G76" s="10" t="n">
        <f aca="false">IFERROR(F76/E76,"")</f>
        <v>2202.75</v>
      </c>
      <c r="H76" s="8" t="s">
        <v>171</v>
      </c>
    </row>
  </sheetData>
  <autoFilter ref="A1:H76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16"/>
    <col collapsed="false" customWidth="true" hidden="false" outlineLevel="0" max="6" min="6" style="0" width="24"/>
  </cols>
  <sheetData>
    <row r="1" customFormat="false" ht="19.7" hidden="false" customHeight="false" outlineLevel="0" collapsed="false">
      <c r="A1" s="5" t="s">
        <v>172</v>
      </c>
      <c r="B1" s="5"/>
      <c r="C1" s="5"/>
      <c r="D1" s="5"/>
      <c r="E1" s="5"/>
      <c r="F1" s="5"/>
    </row>
    <row r="2" customFormat="false" ht="17.15" hidden="false" customHeight="false" outlineLevel="0" collapsed="false">
      <c r="A2" s="6" t="s">
        <v>18</v>
      </c>
      <c r="B2" s="6"/>
      <c r="C2" s="6"/>
      <c r="D2" s="6"/>
      <c r="E2" s="6"/>
      <c r="F2" s="6"/>
    </row>
    <row r="4" customFormat="false" ht="17.15" hidden="false" customHeight="false" outlineLevel="0" collapsed="false">
      <c r="A4" s="7" t="s">
        <v>173</v>
      </c>
      <c r="B4" s="7" t="s">
        <v>174</v>
      </c>
      <c r="C4" s="7" t="s">
        <v>175</v>
      </c>
      <c r="D4" s="7" t="s">
        <v>176</v>
      </c>
      <c r="E4" s="7" t="s">
        <v>177</v>
      </c>
      <c r="F4" s="7" t="s">
        <v>178</v>
      </c>
    </row>
    <row r="5" customFormat="false" ht="17.15" hidden="false" customHeight="false" outlineLevel="0" collapsed="false">
      <c r="A5" s="8" t="s">
        <v>179</v>
      </c>
      <c r="B5" s="11" t="n">
        <v>0.35</v>
      </c>
      <c r="C5" s="8" t="s">
        <v>180</v>
      </c>
      <c r="D5" s="8" t="s">
        <v>181</v>
      </c>
      <c r="E5" s="8" t="s">
        <v>182</v>
      </c>
      <c r="F5" s="8" t="s">
        <v>183</v>
      </c>
    </row>
    <row r="6" customFormat="false" ht="17.15" hidden="false" customHeight="false" outlineLevel="0" collapsed="false">
      <c r="A6" s="8" t="s">
        <v>184</v>
      </c>
      <c r="B6" s="11" t="n">
        <v>0.25</v>
      </c>
      <c r="C6" s="8" t="s">
        <v>180</v>
      </c>
      <c r="D6" s="8" t="s">
        <v>185</v>
      </c>
      <c r="E6" s="8" t="s">
        <v>182</v>
      </c>
      <c r="F6" s="8" t="s">
        <v>186</v>
      </c>
    </row>
    <row r="7" customFormat="false" ht="17.15" hidden="false" customHeight="false" outlineLevel="0" collapsed="false">
      <c r="A7" s="8" t="s">
        <v>187</v>
      </c>
      <c r="B7" s="12" t="n">
        <v>3000000</v>
      </c>
      <c r="C7" s="8" t="s">
        <v>188</v>
      </c>
      <c r="D7" s="8" t="s">
        <v>189</v>
      </c>
      <c r="E7" s="8" t="s">
        <v>182</v>
      </c>
      <c r="F7" s="8" t="s">
        <v>190</v>
      </c>
    </row>
    <row r="8" customFormat="false" ht="17.15" hidden="false" customHeight="false" outlineLevel="0" collapsed="false">
      <c r="A8" s="8" t="s">
        <v>191</v>
      </c>
      <c r="B8" s="12" t="n">
        <v>1000000</v>
      </c>
      <c r="C8" s="8" t="s">
        <v>188</v>
      </c>
      <c r="D8" s="8" t="s">
        <v>192</v>
      </c>
      <c r="E8" s="8" t="s">
        <v>182</v>
      </c>
      <c r="F8" s="8" t="s">
        <v>190</v>
      </c>
    </row>
    <row r="9" customFormat="false" ht="17.15" hidden="false" customHeight="false" outlineLevel="0" collapsed="false">
      <c r="A9" s="8" t="s">
        <v>193</v>
      </c>
      <c r="B9" s="11" t="n">
        <v>0</v>
      </c>
      <c r="C9" s="8" t="s">
        <v>180</v>
      </c>
      <c r="D9" s="8" t="s">
        <v>194</v>
      </c>
      <c r="E9" s="8" t="s">
        <v>182</v>
      </c>
      <c r="F9" s="8" t="s">
        <v>195</v>
      </c>
    </row>
    <row r="12" customFormat="false" ht="17.15" hidden="false" customHeight="false" outlineLevel="0" collapsed="false">
      <c r="A12" s="13" t="s">
        <v>196</v>
      </c>
      <c r="B12" s="14" t="s">
        <v>197</v>
      </c>
      <c r="C12" s="14"/>
      <c r="D12" s="14"/>
      <c r="E12" s="14"/>
      <c r="F12" s="14"/>
    </row>
  </sheetData>
  <autoFilter ref="A1:F9"/>
  <mergeCells count="3">
    <mergeCell ref="A1:F1"/>
    <mergeCell ref="A2:F2"/>
    <mergeCell ref="B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5" min="3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2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42"/>
    <col collapsed="false" customWidth="true" hidden="false" outlineLevel="0" max="13" min="13" style="0" width="16"/>
  </cols>
  <sheetData>
    <row r="1" customFormat="false" ht="19.7" hidden="false" customHeight="false" outlineLevel="0" collapsed="false">
      <c r="A1" s="5" t="s">
        <v>198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7.15" hidden="false" customHeight="false" outlineLevel="0" collapsed="false">
      <c r="A2" s="6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17.15" hidden="false" customHeight="false" outlineLevel="0" collapsed="false">
      <c r="A4" s="7" t="s">
        <v>19</v>
      </c>
      <c r="B4" s="7" t="s">
        <v>20</v>
      </c>
      <c r="C4" s="7" t="s">
        <v>199</v>
      </c>
      <c r="D4" s="7" t="s">
        <v>200</v>
      </c>
      <c r="E4" s="7" t="s">
        <v>201</v>
      </c>
      <c r="F4" s="7" t="s">
        <v>202</v>
      </c>
      <c r="G4" s="7" t="s">
        <v>203</v>
      </c>
      <c r="H4" s="7" t="s">
        <v>204</v>
      </c>
      <c r="I4" s="7" t="s">
        <v>205</v>
      </c>
      <c r="J4" s="7" t="s">
        <v>206</v>
      </c>
      <c r="K4" s="7" t="s">
        <v>207</v>
      </c>
      <c r="L4" s="7" t="s">
        <v>208</v>
      </c>
      <c r="M4" s="7" t="s">
        <v>209</v>
      </c>
    </row>
    <row r="5" customFormat="false" ht="17.15" hidden="false" customHeight="false" outlineLevel="0" collapsed="false">
      <c r="A5" s="8" t="str">
        <f aca="false">브랜드_매출비교!A5</f>
        <v>이미용</v>
      </c>
      <c r="B5" s="8" t="str">
        <f aca="false">브랜드_매출비교!B5</f>
        <v>AivaHair</v>
      </c>
      <c r="C5" s="10" t="n">
        <f aca="false">브랜드_매출비교!D5</f>
        <v>28980000</v>
      </c>
      <c r="D5" s="10" t="n">
        <f aca="false">IF(C5="","",C5*비용_입력!$B$5)</f>
        <v>10143000</v>
      </c>
      <c r="E5" s="10" t="n">
        <f aca="false">IF(C5="","",C5*비용_입력!$B$6)</f>
        <v>7245000</v>
      </c>
      <c r="F5" s="10" t="n">
        <f aca="false">IF(C5="","",C5*비용_입력!$B$9)</f>
        <v>0</v>
      </c>
      <c r="G5" s="10" t="n">
        <f aca="false">IF(C5="","",비용_입력!$B$7+비용_입력!$B$8)</f>
        <v>4000000</v>
      </c>
      <c r="H5" s="10" t="n">
        <f aca="false">IF(C5="","",C5-SUM(D5:G5))</f>
        <v>7592000</v>
      </c>
      <c r="I5" s="10" t="n">
        <f aca="false">IF(H5="","",H5*12)</f>
        <v>91104000</v>
      </c>
      <c r="J5" s="15" t="n">
        <f aca="false">IFERROR(H5/C5,"")</f>
        <v>0.261973775017253</v>
      </c>
      <c r="K5" s="8" t="str">
        <f aca="false">IF(C5="","미확인","확인")</f>
        <v>확인</v>
      </c>
      <c r="L5" s="8" t="s">
        <v>210</v>
      </c>
      <c r="M5" s="8" t="str">
        <f aca="false">IF(K5="미확인","미확인",IF(ABS(H5-(C5-D5-E5-F5-G5))&lt;0.01,"일치","오류"))</f>
        <v>일치</v>
      </c>
    </row>
    <row r="6" customFormat="false" ht="17.15" hidden="false" customHeight="false" outlineLevel="0" collapsed="false">
      <c r="A6" s="8" t="str">
        <f aca="false">브랜드_매출비교!A6</f>
        <v>이미용</v>
      </c>
      <c r="B6" s="8" t="str">
        <f aca="false">브랜드_매출비교!B6</f>
        <v>Blueclub</v>
      </c>
      <c r="C6" s="10" t="n">
        <f aca="false">브랜드_매출비교!D6</f>
        <v>6870000</v>
      </c>
      <c r="D6" s="10" t="n">
        <f aca="false">IF(C6="","",C6*비용_입력!$B$5)</f>
        <v>2404500</v>
      </c>
      <c r="E6" s="10" t="n">
        <f aca="false">IF(C6="","",C6*비용_입력!$B$6)</f>
        <v>1717500</v>
      </c>
      <c r="F6" s="10" t="n">
        <f aca="false">IF(C6="","",C6*비용_입력!$B$9)</f>
        <v>0</v>
      </c>
      <c r="G6" s="10" t="n">
        <f aca="false">IF(C6="","",비용_입력!$B$7+비용_입력!$B$8)</f>
        <v>4000000</v>
      </c>
      <c r="H6" s="10" t="n">
        <f aca="false">IF(C6="","",C6-SUM(D6:G6))</f>
        <v>-1252000</v>
      </c>
      <c r="I6" s="10" t="n">
        <f aca="false">IF(H6="","",H6*12)</f>
        <v>-15024000</v>
      </c>
      <c r="J6" s="15" t="n">
        <f aca="false">IFERROR(H6/C6,"")</f>
        <v>-0.182241630276565</v>
      </c>
      <c r="K6" s="8" t="str">
        <f aca="false">IF(C6="","미확인","확인")</f>
        <v>확인</v>
      </c>
      <c r="L6" s="8" t="s">
        <v>210</v>
      </c>
      <c r="M6" s="8" t="str">
        <f aca="false">IF(K6="미확인","미확인",IF(ABS(H6-(C6-D6-E6-F6-G6))&lt;0.01,"일치","오류"))</f>
        <v>일치</v>
      </c>
    </row>
    <row r="7" customFormat="false" ht="17.15" hidden="false" customHeight="false" outlineLevel="0" collapsed="false">
      <c r="A7" s="8" t="str">
        <f aca="false">브랜드_매출비교!A7</f>
        <v>이미용</v>
      </c>
      <c r="B7" s="8" t="str">
        <f aca="false">브랜드_매출비교!B7</f>
        <v>LeeChulHairKeker</v>
      </c>
      <c r="C7" s="10" t="n">
        <f aca="false">브랜드_매출비교!D7</f>
        <v>42690000</v>
      </c>
      <c r="D7" s="10" t="n">
        <f aca="false">IF(C7="","",C7*비용_입력!$B$5)</f>
        <v>14941500</v>
      </c>
      <c r="E7" s="10" t="n">
        <f aca="false">IF(C7="","",C7*비용_입력!$B$6)</f>
        <v>10672500</v>
      </c>
      <c r="F7" s="10" t="n">
        <f aca="false">IF(C7="","",C7*비용_입력!$B$9)</f>
        <v>0</v>
      </c>
      <c r="G7" s="10" t="n">
        <f aca="false">IF(C7="","",비용_입력!$B$7+비용_입력!$B$8)</f>
        <v>4000000</v>
      </c>
      <c r="H7" s="10" t="n">
        <f aca="false">IF(C7="","",C7-SUM(D7:G7))</f>
        <v>13076000</v>
      </c>
      <c r="I7" s="10" t="n">
        <f aca="false">IF(H7="","",H7*12)</f>
        <v>156912000</v>
      </c>
      <c r="J7" s="15" t="n">
        <f aca="false">IFERROR(H7/C7,"")</f>
        <v>0.30630124150855</v>
      </c>
      <c r="K7" s="8" t="str">
        <f aca="false">IF(C7="","미확인","확인")</f>
        <v>확인</v>
      </c>
      <c r="L7" s="8" t="s">
        <v>210</v>
      </c>
      <c r="M7" s="8" t="str">
        <f aca="false">IF(K7="미확인","미확인",IF(ABS(H7-(C7-D7-E7-F7-G7))&lt;0.01,"일치","오류"))</f>
        <v>일치</v>
      </c>
    </row>
    <row r="8" customFormat="false" ht="17.15" hidden="false" customHeight="false" outlineLevel="0" collapsed="false">
      <c r="A8" s="8" t="str">
        <f aca="false">브랜드_매출비교!A8</f>
        <v>이미용</v>
      </c>
      <c r="B8" s="8" t="str">
        <f aca="false">브랜드_매출비교!B8</f>
        <v>ParkSeungChul</v>
      </c>
      <c r="C8" s="10" t="n">
        <f aca="false">브랜드_매출비교!D8</f>
        <v>45170000</v>
      </c>
      <c r="D8" s="10" t="n">
        <f aca="false">IF(C8="","",C8*비용_입력!$B$5)</f>
        <v>15809500</v>
      </c>
      <c r="E8" s="10" t="n">
        <f aca="false">IF(C8="","",C8*비용_입력!$B$6)</f>
        <v>11292500</v>
      </c>
      <c r="F8" s="10" t="n">
        <f aca="false">IF(C8="","",C8*비용_입력!$B$9)</f>
        <v>0</v>
      </c>
      <c r="G8" s="10" t="n">
        <f aca="false">IF(C8="","",비용_입력!$B$7+비용_입력!$B$8)</f>
        <v>4000000</v>
      </c>
      <c r="H8" s="10" t="n">
        <f aca="false">IF(C8="","",C8-SUM(D8:G8))</f>
        <v>14068000</v>
      </c>
      <c r="I8" s="10" t="n">
        <f aca="false">IF(H8="","",H8*12)</f>
        <v>168816000</v>
      </c>
      <c r="J8" s="15" t="n">
        <f aca="false">IFERROR(H8/C8,"")</f>
        <v>0.311445649767545</v>
      </c>
      <c r="K8" s="8" t="str">
        <f aca="false">IF(C8="","미확인","확인")</f>
        <v>확인</v>
      </c>
      <c r="L8" s="8" t="s">
        <v>210</v>
      </c>
      <c r="M8" s="8" t="str">
        <f aca="false">IF(K8="미확인","미확인",IF(ABS(H8-(C8-D8-E8-F8-G8))&lt;0.01,"일치","오류"))</f>
        <v>일치</v>
      </c>
    </row>
    <row r="9" customFormat="false" ht="17.15" hidden="false" customHeight="false" outlineLevel="0" collapsed="false">
      <c r="A9" s="8" t="str">
        <f aca="false">브랜드_매출비교!A9</f>
        <v>이미용</v>
      </c>
      <c r="B9" s="8" t="str">
        <f aca="false">브랜드_매출비교!B9</f>
        <v>XEOHair</v>
      </c>
      <c r="C9" s="10" t="n">
        <f aca="false">브랜드_매출비교!D9</f>
        <v>36580000</v>
      </c>
      <c r="D9" s="10" t="n">
        <f aca="false">IF(C9="","",C9*비용_입력!$B$5)</f>
        <v>12803000</v>
      </c>
      <c r="E9" s="10" t="n">
        <f aca="false">IF(C9="","",C9*비용_입력!$B$6)</f>
        <v>9145000</v>
      </c>
      <c r="F9" s="10" t="n">
        <f aca="false">IF(C9="","",C9*비용_입력!$B$9)</f>
        <v>0</v>
      </c>
      <c r="G9" s="10" t="n">
        <f aca="false">IF(C9="","",비용_입력!$B$7+비용_입력!$B$8)</f>
        <v>4000000</v>
      </c>
      <c r="H9" s="10" t="n">
        <f aca="false">IF(C9="","",C9-SUM(D9:G9))</f>
        <v>10632000</v>
      </c>
      <c r="I9" s="10" t="n">
        <f aca="false">IF(H9="","",H9*12)</f>
        <v>127584000</v>
      </c>
      <c r="J9" s="15" t="n">
        <f aca="false">IFERROR(H9/C9,"")</f>
        <v>0.290650628758885</v>
      </c>
      <c r="K9" s="8" t="str">
        <f aca="false">IF(C9="","미확인","확인")</f>
        <v>확인</v>
      </c>
      <c r="L9" s="8" t="s">
        <v>210</v>
      </c>
      <c r="M9" s="8" t="str">
        <f aca="false">IF(K9="미확인","미확인",IF(ABS(H9-(C9-D9-E9-F9-G9))&lt;0.01,"일치","오류"))</f>
        <v>일치</v>
      </c>
    </row>
    <row r="10" customFormat="false" ht="17.15" hidden="false" customHeight="false" outlineLevel="0" collapsed="false">
      <c r="A10" s="8" t="str">
        <f aca="false">브랜드_매출비교!A10</f>
        <v>치킨</v>
      </c>
      <c r="B10" s="8" t="str">
        <f aca="false">브랜드_매출비교!B10</f>
        <v>BHC</v>
      </c>
      <c r="C10" s="10" t="n">
        <f aca="false">브랜드_매출비교!D10</f>
        <v>53080000</v>
      </c>
      <c r="D10" s="10" t="n">
        <f aca="false">IF(C10="","",C10*비용_입력!$B$5)</f>
        <v>18578000</v>
      </c>
      <c r="E10" s="10" t="n">
        <f aca="false">IF(C10="","",C10*비용_입력!$B$6)</f>
        <v>13270000</v>
      </c>
      <c r="F10" s="10" t="n">
        <f aca="false">IF(C10="","",C10*비용_입력!$B$9)</f>
        <v>0</v>
      </c>
      <c r="G10" s="10" t="n">
        <f aca="false">IF(C10="","",비용_입력!$B$7+비용_입력!$B$8)</f>
        <v>4000000</v>
      </c>
      <c r="H10" s="10" t="n">
        <f aca="false">IF(C10="","",C10-SUM(D10:G10))</f>
        <v>17232000</v>
      </c>
      <c r="I10" s="10" t="n">
        <f aca="false">IF(H10="","",H10*12)</f>
        <v>206784000</v>
      </c>
      <c r="J10" s="15" t="n">
        <f aca="false">IFERROR(H10/C10,"")</f>
        <v>0.324642049736247</v>
      </c>
      <c r="K10" s="8" t="str">
        <f aca="false">IF(C10="","미확인","확인")</f>
        <v>확인</v>
      </c>
      <c r="L10" s="8" t="s">
        <v>210</v>
      </c>
      <c r="M10" s="8" t="str">
        <f aca="false">IF(K10="미확인","미확인",IF(ABS(H10-(C10-D10-E10-F10-G10))&lt;0.01,"일치","오류"))</f>
        <v>일치</v>
      </c>
    </row>
    <row r="11" customFormat="false" ht="17.15" hidden="false" customHeight="false" outlineLevel="0" collapsed="false">
      <c r="A11" s="8" t="str">
        <f aca="false">브랜드_매출비교!A11</f>
        <v>치킨</v>
      </c>
      <c r="B11" s="8" t="str">
        <f aca="false">브랜드_매출비교!B11</f>
        <v>교촌치킨</v>
      </c>
      <c r="C11" s="10" t="n">
        <f aca="false">브랜드_매출비교!D11</f>
        <v>65640000</v>
      </c>
      <c r="D11" s="10" t="n">
        <f aca="false">IF(C11="","",C11*비용_입력!$B$5)</f>
        <v>22974000</v>
      </c>
      <c r="E11" s="10" t="n">
        <f aca="false">IF(C11="","",C11*비용_입력!$B$6)</f>
        <v>16410000</v>
      </c>
      <c r="F11" s="10" t="n">
        <f aca="false">IF(C11="","",C11*비용_입력!$B$9)</f>
        <v>0</v>
      </c>
      <c r="G11" s="10" t="n">
        <f aca="false">IF(C11="","",비용_입력!$B$7+비용_입력!$B$8)</f>
        <v>4000000</v>
      </c>
      <c r="H11" s="10" t="n">
        <f aca="false">IF(C11="","",C11-SUM(D11:G11))</f>
        <v>22256000</v>
      </c>
      <c r="I11" s="10" t="n">
        <f aca="false">IF(H11="","",H11*12)</f>
        <v>267072000</v>
      </c>
      <c r="J11" s="15" t="n">
        <f aca="false">IFERROR(H11/C11,"")</f>
        <v>0.339061547836685</v>
      </c>
      <c r="K11" s="8" t="str">
        <f aca="false">IF(C11="","미확인","확인")</f>
        <v>확인</v>
      </c>
      <c r="L11" s="8" t="s">
        <v>210</v>
      </c>
      <c r="M11" s="8" t="str">
        <f aca="false">IF(K11="미확인","미확인",IF(ABS(H11-(C11-D11-E11-F11-G11))&lt;0.01,"일치","오류"))</f>
        <v>일치</v>
      </c>
    </row>
    <row r="12" customFormat="false" ht="17.15" hidden="false" customHeight="false" outlineLevel="0" collapsed="false">
      <c r="A12" s="8" t="str">
        <f aca="false">브랜드_매출비교!A12</f>
        <v>치킨</v>
      </c>
      <c r="B12" s="8" t="str">
        <f aca="false">브랜드_매출비교!B12</f>
        <v>굽네치킨</v>
      </c>
      <c r="C12" s="10" t="n">
        <f aca="false">브랜드_매출비교!D12</f>
        <v>41550000</v>
      </c>
      <c r="D12" s="10" t="n">
        <f aca="false">IF(C12="","",C12*비용_입력!$B$5)</f>
        <v>14542500</v>
      </c>
      <c r="E12" s="10" t="n">
        <f aca="false">IF(C12="","",C12*비용_입력!$B$6)</f>
        <v>10387500</v>
      </c>
      <c r="F12" s="10" t="n">
        <f aca="false">IF(C12="","",C12*비용_입력!$B$9)</f>
        <v>0</v>
      </c>
      <c r="G12" s="10" t="n">
        <f aca="false">IF(C12="","",비용_입력!$B$7+비용_입력!$B$8)</f>
        <v>4000000</v>
      </c>
      <c r="H12" s="10" t="n">
        <f aca="false">IF(C12="","",C12-SUM(D12:G12))</f>
        <v>12620000</v>
      </c>
      <c r="I12" s="10" t="n">
        <f aca="false">IF(H12="","",H12*12)</f>
        <v>151440000</v>
      </c>
      <c r="J12" s="15" t="n">
        <f aca="false">IFERROR(H12/C12,"")</f>
        <v>0.303730445246691</v>
      </c>
      <c r="K12" s="8" t="str">
        <f aca="false">IF(C12="","미확인","확인")</f>
        <v>확인</v>
      </c>
      <c r="L12" s="8" t="s">
        <v>210</v>
      </c>
      <c r="M12" s="8" t="str">
        <f aca="false">IF(K12="미확인","미확인",IF(ABS(H12-(C12-D12-E12-F12-G12))&lt;0.01,"일치","오류"))</f>
        <v>일치</v>
      </c>
    </row>
    <row r="13" customFormat="false" ht="17.15" hidden="false" customHeight="false" outlineLevel="0" collapsed="false">
      <c r="A13" s="8" t="str">
        <f aca="false">브랜드_매출비교!A13</f>
        <v>치킨</v>
      </c>
      <c r="B13" s="8" t="str">
        <f aca="false">브랜드_매출비교!B13</f>
        <v>비비큐</v>
      </c>
      <c r="C13" s="10" t="n">
        <f aca="false">브랜드_매출비교!D13</f>
        <v>42390000</v>
      </c>
      <c r="D13" s="10" t="n">
        <f aca="false">IF(C13="","",C13*비용_입력!$B$5)</f>
        <v>14836500</v>
      </c>
      <c r="E13" s="10" t="n">
        <f aca="false">IF(C13="","",C13*비용_입력!$B$6)</f>
        <v>10597500</v>
      </c>
      <c r="F13" s="10" t="n">
        <f aca="false">IF(C13="","",C13*비용_입력!$B$9)</f>
        <v>0</v>
      </c>
      <c r="G13" s="10" t="n">
        <f aca="false">IF(C13="","",비용_입력!$B$7+비용_입력!$B$8)</f>
        <v>4000000</v>
      </c>
      <c r="H13" s="10" t="n">
        <f aca="false">IF(C13="","",C13-SUM(D13:G13))</f>
        <v>12956000</v>
      </c>
      <c r="I13" s="10" t="n">
        <f aca="false">IF(H13="","",H13*12)</f>
        <v>155472000</v>
      </c>
      <c r="J13" s="15" t="n">
        <f aca="false">IFERROR(H13/C13,"")</f>
        <v>0.305638122198632</v>
      </c>
      <c r="K13" s="8" t="str">
        <f aca="false">IF(C13="","미확인","확인")</f>
        <v>확인</v>
      </c>
      <c r="L13" s="8" t="s">
        <v>210</v>
      </c>
      <c r="M13" s="8" t="str">
        <f aca="false">IF(K13="미확인","미확인",IF(ABS(H13-(C13-D13-E13-F13-G13))&lt;0.01,"일치","오류"))</f>
        <v>일치</v>
      </c>
    </row>
    <row r="14" customFormat="false" ht="17.15" hidden="false" customHeight="false" outlineLevel="0" collapsed="false">
      <c r="A14" s="8" t="str">
        <f aca="false">브랜드_매출비교!A14</f>
        <v>치킨</v>
      </c>
      <c r="B14" s="8" t="str">
        <f aca="false">브랜드_매출비교!B14</f>
        <v>처갓집양념치킨</v>
      </c>
      <c r="C14" s="10" t="n">
        <f aca="false">브랜드_매출비교!D14</f>
        <v>28570000</v>
      </c>
      <c r="D14" s="10" t="n">
        <f aca="false">IF(C14="","",C14*비용_입력!$B$5)</f>
        <v>9999500</v>
      </c>
      <c r="E14" s="10" t="n">
        <f aca="false">IF(C14="","",C14*비용_입력!$B$6)</f>
        <v>7142500</v>
      </c>
      <c r="F14" s="10" t="n">
        <f aca="false">IF(C14="","",C14*비용_입력!$B$9)</f>
        <v>0</v>
      </c>
      <c r="G14" s="10" t="n">
        <f aca="false">IF(C14="","",비용_입력!$B$7+비용_입력!$B$8)</f>
        <v>4000000</v>
      </c>
      <c r="H14" s="10" t="n">
        <f aca="false">IF(C14="","",C14-SUM(D14:G14))</f>
        <v>7428000</v>
      </c>
      <c r="I14" s="10" t="n">
        <f aca="false">IF(H14="","",H14*12)</f>
        <v>89136000</v>
      </c>
      <c r="J14" s="15" t="n">
        <f aca="false">IFERROR(H14/C14,"")</f>
        <v>0.259992999649983</v>
      </c>
      <c r="K14" s="8" t="str">
        <f aca="false">IF(C14="","미확인","확인")</f>
        <v>확인</v>
      </c>
      <c r="L14" s="8" t="s">
        <v>210</v>
      </c>
      <c r="M14" s="8" t="str">
        <f aca="false">IF(K14="미확인","미확인",IF(ABS(H14-(C14-D14-E14-F14-G14))&lt;0.01,"일치","오류"))</f>
        <v>일치</v>
      </c>
    </row>
    <row r="15" customFormat="false" ht="17.15" hidden="false" customHeight="false" outlineLevel="0" collapsed="false">
      <c r="A15" s="8" t="str">
        <f aca="false">브랜드_매출비교!A15</f>
        <v>커피</v>
      </c>
      <c r="B15" s="8" t="str">
        <f aca="false">브랜드_매출비교!B15</f>
        <v>메가커피</v>
      </c>
      <c r="C15" s="10" t="n">
        <f aca="false">브랜드_매출비교!D15</f>
        <v>0</v>
      </c>
      <c r="D15" s="10" t="str">
        <f aca="false">IF(C15="","",C15*비용_입력!$B$5)</f>
        <v/>
      </c>
      <c r="E15" s="10" t="str">
        <f aca="false">IF(C15="","",C15*비용_입력!$B$6)</f>
        <v/>
      </c>
      <c r="F15" s="10" t="str">
        <f aca="false">IF(C15="","",C15*비용_입력!$B$9)</f>
        <v/>
      </c>
      <c r="G15" s="10" t="str">
        <f aca="false">IF(C15="","",비용_입력!$B$7+비용_입력!$B$8)</f>
        <v/>
      </c>
      <c r="H15" s="10" t="str">
        <f aca="false">IF(C15="","",C15-SUM(D15:G15))</f>
        <v/>
      </c>
      <c r="I15" s="10" t="str">
        <f aca="false">IF(H15="","",H15*12)</f>
        <v/>
      </c>
      <c r="J15" s="15" t="str">
        <f aca="false">IFERROR(H15/C15,"")</f>
        <v/>
      </c>
      <c r="K15" s="8" t="str">
        <f aca="false">IF(C15="","미확인","확인")</f>
        <v>미확인</v>
      </c>
      <c r="L15" s="8" t="s">
        <v>210</v>
      </c>
      <c r="M15" s="8" t="str">
        <f aca="false">IF(K15="미확인","미확인",IF(ABS(H15-(C15-D15-E15-F15-G15))&lt;0.01,"일치","오류"))</f>
        <v>미확인</v>
      </c>
    </row>
    <row r="16" customFormat="false" ht="17.15" hidden="false" customHeight="false" outlineLevel="0" collapsed="false">
      <c r="A16" s="8" t="str">
        <f aca="false">브랜드_매출비교!A16</f>
        <v>커피</v>
      </c>
      <c r="B16" s="8" t="str">
        <f aca="false">브랜드_매출비교!B16</f>
        <v>메가커피</v>
      </c>
      <c r="C16" s="10" t="n">
        <f aca="false">브랜드_매출비교!D16</f>
        <v>0</v>
      </c>
      <c r="D16" s="10" t="str">
        <f aca="false">IF(C16="","",C16*비용_입력!$B$5)</f>
        <v/>
      </c>
      <c r="E16" s="10" t="str">
        <f aca="false">IF(C16="","",C16*비용_입력!$B$6)</f>
        <v/>
      </c>
      <c r="F16" s="10" t="str">
        <f aca="false">IF(C16="","",C16*비용_입력!$B$9)</f>
        <v/>
      </c>
      <c r="G16" s="10" t="str">
        <f aca="false">IF(C16="","",비용_입력!$B$7+비용_입력!$B$8)</f>
        <v/>
      </c>
      <c r="H16" s="10" t="str">
        <f aca="false">IF(C16="","",C16-SUM(D16:G16))</f>
        <v/>
      </c>
      <c r="I16" s="10" t="str">
        <f aca="false">IF(H16="","",H16*12)</f>
        <v/>
      </c>
      <c r="J16" s="15" t="str">
        <f aca="false">IFERROR(H16/C16,"")</f>
        <v/>
      </c>
      <c r="K16" s="8" t="str">
        <f aca="false">IF(C16="","미확인","확인")</f>
        <v>미확인</v>
      </c>
      <c r="L16" s="8" t="s">
        <v>210</v>
      </c>
      <c r="M16" s="8" t="str">
        <f aca="false">IF(K16="미확인","미확인",IF(ABS(H16-(C16-D16-E16-F16-G16))&lt;0.01,"일치","오류"))</f>
        <v>미확인</v>
      </c>
    </row>
    <row r="17" customFormat="false" ht="17.15" hidden="false" customHeight="false" outlineLevel="0" collapsed="false">
      <c r="A17" s="8" t="str">
        <f aca="false">브랜드_매출비교!A17</f>
        <v>커피</v>
      </c>
      <c r="B17" s="8" t="str">
        <f aca="false">브랜드_매출비교!B17</f>
        <v>컴포즈커피</v>
      </c>
      <c r="C17" s="10" t="n">
        <f aca="false">브랜드_매출비교!D17</f>
        <v>0</v>
      </c>
      <c r="D17" s="10" t="str">
        <f aca="false">IF(C17="","",C17*비용_입력!$B$5)</f>
        <v/>
      </c>
      <c r="E17" s="10" t="str">
        <f aca="false">IF(C17="","",C17*비용_입력!$B$6)</f>
        <v/>
      </c>
      <c r="F17" s="10" t="str">
        <f aca="false">IF(C17="","",C17*비용_입력!$B$9)</f>
        <v/>
      </c>
      <c r="G17" s="10" t="str">
        <f aca="false">IF(C17="","",비용_입력!$B$7+비용_입력!$B$8)</f>
        <v/>
      </c>
      <c r="H17" s="10" t="str">
        <f aca="false">IF(C17="","",C17-SUM(D17:G17))</f>
        <v/>
      </c>
      <c r="I17" s="10" t="str">
        <f aca="false">IF(H17="","",H17*12)</f>
        <v/>
      </c>
      <c r="J17" s="15" t="str">
        <f aca="false">IFERROR(H17/C17,"")</f>
        <v/>
      </c>
      <c r="K17" s="8" t="str">
        <f aca="false">IF(C17="","미확인","확인")</f>
        <v>미확인</v>
      </c>
      <c r="L17" s="8" t="s">
        <v>210</v>
      </c>
      <c r="M17" s="8" t="str">
        <f aca="false">IF(K17="미확인","미확인",IF(ABS(H17-(C17-D17-E17-F17-G17))&lt;0.01,"일치","오류"))</f>
        <v>미확인</v>
      </c>
    </row>
    <row r="18" customFormat="false" ht="17.15" hidden="false" customHeight="false" outlineLevel="0" collapsed="false">
      <c r="A18" s="8" t="str">
        <f aca="false">브랜드_매출비교!A18</f>
        <v>커피</v>
      </c>
      <c r="B18" s="8" t="str">
        <f aca="false">브랜드_매출비교!B18</f>
        <v>이디야커피</v>
      </c>
      <c r="C18" s="10" t="n">
        <f aca="false">브랜드_매출비교!D18</f>
        <v>0</v>
      </c>
      <c r="D18" s="10" t="str">
        <f aca="false">IF(C18="","",C18*비용_입력!$B$5)</f>
        <v/>
      </c>
      <c r="E18" s="10" t="str">
        <f aca="false">IF(C18="","",C18*비용_입력!$B$6)</f>
        <v/>
      </c>
      <c r="F18" s="10" t="str">
        <f aca="false">IF(C18="","",C18*비용_입력!$B$9)</f>
        <v/>
      </c>
      <c r="G18" s="10" t="str">
        <f aca="false">IF(C18="","",비용_입력!$B$7+비용_입력!$B$8)</f>
        <v/>
      </c>
      <c r="H18" s="10" t="str">
        <f aca="false">IF(C18="","",C18-SUM(D18:G18))</f>
        <v/>
      </c>
      <c r="I18" s="10" t="str">
        <f aca="false">IF(H18="","",H18*12)</f>
        <v/>
      </c>
      <c r="J18" s="15" t="str">
        <f aca="false">IFERROR(H18/C18,"")</f>
        <v/>
      </c>
      <c r="K18" s="8" t="str">
        <f aca="false">IF(C18="","미확인","확인")</f>
        <v>미확인</v>
      </c>
      <c r="L18" s="8" t="s">
        <v>210</v>
      </c>
      <c r="M18" s="8" t="str">
        <f aca="false">IF(K18="미확인","미확인",IF(ABS(H18-(C18-D18-E18-F18-G18))&lt;0.01,"일치","오류"))</f>
        <v>미확인</v>
      </c>
    </row>
    <row r="19" customFormat="false" ht="17.15" hidden="false" customHeight="false" outlineLevel="0" collapsed="false">
      <c r="A19" s="8" t="str">
        <f aca="false">브랜드_매출비교!A19</f>
        <v>커피</v>
      </c>
      <c r="B19" s="8" t="str">
        <f aca="false">브랜드_매출비교!B19</f>
        <v>빽다방</v>
      </c>
      <c r="C19" s="10" t="n">
        <f aca="false">브랜드_매출비교!D19</f>
        <v>0</v>
      </c>
      <c r="D19" s="10" t="str">
        <f aca="false">IF(C19="","",C19*비용_입력!$B$5)</f>
        <v/>
      </c>
      <c r="E19" s="10" t="str">
        <f aca="false">IF(C19="","",C19*비용_입력!$B$6)</f>
        <v/>
      </c>
      <c r="F19" s="10" t="str">
        <f aca="false">IF(C19="","",C19*비용_입력!$B$9)</f>
        <v/>
      </c>
      <c r="G19" s="10" t="str">
        <f aca="false">IF(C19="","",비용_입력!$B$7+비용_입력!$B$8)</f>
        <v/>
      </c>
      <c r="H19" s="10" t="str">
        <f aca="false">IF(C19="","",C19-SUM(D19:G19))</f>
        <v/>
      </c>
      <c r="I19" s="10" t="str">
        <f aca="false">IF(H19="","",H19*12)</f>
        <v/>
      </c>
      <c r="J19" s="15" t="str">
        <f aca="false">IFERROR(H19/C19,"")</f>
        <v/>
      </c>
      <c r="K19" s="8" t="str">
        <f aca="false">IF(C19="","미확인","확인")</f>
        <v>미확인</v>
      </c>
      <c r="L19" s="8" t="s">
        <v>210</v>
      </c>
      <c r="M19" s="8" t="str">
        <f aca="false">IF(K19="미확인","미확인",IF(ABS(H19-(C19-D19-E19-F19-G19))&lt;0.01,"일치","오류"))</f>
        <v>미확인</v>
      </c>
    </row>
    <row r="20" customFormat="false" ht="17.15" hidden="false" customHeight="false" outlineLevel="0" collapsed="false">
      <c r="A20" s="8" t="str">
        <f aca="false">브랜드_매출비교!A20</f>
        <v>커피</v>
      </c>
      <c r="B20" s="8" t="str">
        <f aca="false">브랜드_매출비교!B20</f>
        <v>투썸플레이스</v>
      </c>
      <c r="C20" s="10" t="n">
        <f aca="false">브랜드_매출비교!D20</f>
        <v>0</v>
      </c>
      <c r="D20" s="10" t="str">
        <f aca="false">IF(C20="","",C20*비용_입력!$B$5)</f>
        <v/>
      </c>
      <c r="E20" s="10" t="str">
        <f aca="false">IF(C20="","",C20*비용_입력!$B$6)</f>
        <v/>
      </c>
      <c r="F20" s="10" t="str">
        <f aca="false">IF(C20="","",C20*비용_입력!$B$9)</f>
        <v/>
      </c>
      <c r="G20" s="10" t="str">
        <f aca="false">IF(C20="","",비용_입력!$B$7+비용_입력!$B$8)</f>
        <v/>
      </c>
      <c r="H20" s="10" t="str">
        <f aca="false">IF(C20="","",C20-SUM(D20:G20))</f>
        <v/>
      </c>
      <c r="I20" s="10" t="str">
        <f aca="false">IF(H20="","",H20*12)</f>
        <v/>
      </c>
      <c r="J20" s="15" t="str">
        <f aca="false">IFERROR(H20/C20,"")</f>
        <v/>
      </c>
      <c r="K20" s="8" t="str">
        <f aca="false">IF(C20="","미확인","확인")</f>
        <v>미확인</v>
      </c>
      <c r="L20" s="8" t="s">
        <v>210</v>
      </c>
      <c r="M20" s="8" t="str">
        <f aca="false">IF(K20="미확인","미확인",IF(ABS(H20-(C20-D20-E20-F20-G20))&lt;0.01,"일치","오류"))</f>
        <v>미확인</v>
      </c>
    </row>
    <row r="21" customFormat="false" ht="17.15" hidden="false" customHeight="false" outlineLevel="0" collapsed="false">
      <c r="A21" s="8" t="str">
        <f aca="false">브랜드_매출비교!A21</f>
        <v>편의점</v>
      </c>
      <c r="B21" s="8" t="str">
        <f aca="false">브랜드_매출비교!B21</f>
        <v>CU</v>
      </c>
      <c r="C21" s="10" t="n">
        <f aca="false">브랜드_매출비교!D21</f>
        <v>0</v>
      </c>
      <c r="D21" s="10" t="str">
        <f aca="false">IF(C21="","",C21*비용_입력!$B$5)</f>
        <v/>
      </c>
      <c r="E21" s="10" t="str">
        <f aca="false">IF(C21="","",C21*비용_입력!$B$6)</f>
        <v/>
      </c>
      <c r="F21" s="10" t="str">
        <f aca="false">IF(C21="","",C21*비용_입력!$B$9)</f>
        <v/>
      </c>
      <c r="G21" s="10" t="str">
        <f aca="false">IF(C21="","",비용_입력!$B$7+비용_입력!$B$8)</f>
        <v/>
      </c>
      <c r="H21" s="10" t="str">
        <f aca="false">IF(C21="","",C21-SUM(D21:G21))</f>
        <v/>
      </c>
      <c r="I21" s="10" t="str">
        <f aca="false">IF(H21="","",H21*12)</f>
        <v/>
      </c>
      <c r="J21" s="15" t="str">
        <f aca="false">IFERROR(H21/C21,"")</f>
        <v/>
      </c>
      <c r="K21" s="8" t="str">
        <f aca="false">IF(C21="","미확인","확인")</f>
        <v>미확인</v>
      </c>
      <c r="L21" s="8" t="s">
        <v>210</v>
      </c>
      <c r="M21" s="8" t="str">
        <f aca="false">IF(K21="미확인","미확인",IF(ABS(H21-(C21-D21-E21-F21-G21))&lt;0.01,"일치","오류"))</f>
        <v>미확인</v>
      </c>
    </row>
    <row r="22" customFormat="false" ht="17.15" hidden="false" customHeight="false" outlineLevel="0" collapsed="false">
      <c r="A22" s="8" t="str">
        <f aca="false">브랜드_매출비교!A22</f>
        <v>편의점</v>
      </c>
      <c r="B22" s="8" t="str">
        <f aca="false">브랜드_매출비교!B22</f>
        <v>GS25</v>
      </c>
      <c r="C22" s="10" t="n">
        <f aca="false">브랜드_매출비교!D22</f>
        <v>0</v>
      </c>
      <c r="D22" s="10" t="str">
        <f aca="false">IF(C22="","",C22*비용_입력!$B$5)</f>
        <v/>
      </c>
      <c r="E22" s="10" t="str">
        <f aca="false">IF(C22="","",C22*비용_입력!$B$6)</f>
        <v/>
      </c>
      <c r="F22" s="10" t="str">
        <f aca="false">IF(C22="","",C22*비용_입력!$B$9)</f>
        <v/>
      </c>
      <c r="G22" s="10" t="str">
        <f aca="false">IF(C22="","",비용_입력!$B$7+비용_입력!$B$8)</f>
        <v/>
      </c>
      <c r="H22" s="10" t="str">
        <f aca="false">IF(C22="","",C22-SUM(D22:G22))</f>
        <v/>
      </c>
      <c r="I22" s="10" t="str">
        <f aca="false">IF(H22="","",H22*12)</f>
        <v/>
      </c>
      <c r="J22" s="15" t="str">
        <f aca="false">IFERROR(H22/C22,"")</f>
        <v/>
      </c>
      <c r="K22" s="8" t="str">
        <f aca="false">IF(C22="","미확인","확인")</f>
        <v>미확인</v>
      </c>
      <c r="L22" s="8" t="s">
        <v>210</v>
      </c>
      <c r="M22" s="8" t="str">
        <f aca="false">IF(K22="미확인","미확인",IF(ABS(H22-(C22-D22-E22-F22-G22))&lt;0.01,"일치","오류"))</f>
        <v>미확인</v>
      </c>
    </row>
    <row r="23" customFormat="false" ht="17.15" hidden="false" customHeight="false" outlineLevel="0" collapsed="false">
      <c r="A23" s="8" t="str">
        <f aca="false">브랜드_매출비교!A23</f>
        <v>편의점</v>
      </c>
      <c r="B23" s="8" t="str">
        <f aca="false">브랜드_매출비교!B23</f>
        <v>세븐일레븐</v>
      </c>
      <c r="C23" s="10" t="n">
        <f aca="false">브랜드_매출비교!D23</f>
        <v>42600000</v>
      </c>
      <c r="D23" s="10" t="n">
        <f aca="false">IF(C23="","",C23*비용_입력!$B$5)</f>
        <v>14910000</v>
      </c>
      <c r="E23" s="10" t="n">
        <f aca="false">IF(C23="","",C23*비용_입력!$B$6)</f>
        <v>10650000</v>
      </c>
      <c r="F23" s="10" t="n">
        <f aca="false">IF(C23="","",C23*비용_입력!$B$9)</f>
        <v>0</v>
      </c>
      <c r="G23" s="10" t="n">
        <f aca="false">IF(C23="","",비용_입력!$B$7+비용_입력!$B$8)</f>
        <v>4000000</v>
      </c>
      <c r="H23" s="10" t="n">
        <f aca="false">IF(C23="","",C23-SUM(D23:G23))</f>
        <v>13040000</v>
      </c>
      <c r="I23" s="10" t="n">
        <f aca="false">IF(H23="","",H23*12)</f>
        <v>156480000</v>
      </c>
      <c r="J23" s="15" t="n">
        <f aca="false">IFERROR(H23/C23,"")</f>
        <v>0.306103286384977</v>
      </c>
      <c r="K23" s="8" t="str">
        <f aca="false">IF(C23="","미확인","확인")</f>
        <v>확인</v>
      </c>
      <c r="L23" s="8" t="s">
        <v>210</v>
      </c>
      <c r="M23" s="8" t="str">
        <f aca="false">IF(K23="미확인","미확인",IF(ABS(H23-(C23-D23-E23-F23-G23))&lt;0.01,"일치","오류"))</f>
        <v>일치</v>
      </c>
    </row>
    <row r="24" customFormat="false" ht="17.15" hidden="false" customHeight="false" outlineLevel="0" collapsed="false">
      <c r="A24" s="8" t="str">
        <f aca="false">브랜드_매출비교!A24</f>
        <v>편의점</v>
      </c>
      <c r="B24" s="8" t="str">
        <f aca="false">브랜드_매출비교!B24</f>
        <v>이마트24</v>
      </c>
      <c r="C24" s="10" t="n">
        <f aca="false">브랜드_매출비교!D24</f>
        <v>37620000</v>
      </c>
      <c r="D24" s="10" t="n">
        <f aca="false">IF(C24="","",C24*비용_입력!$B$5)</f>
        <v>13167000</v>
      </c>
      <c r="E24" s="10" t="n">
        <f aca="false">IF(C24="","",C24*비용_입력!$B$6)</f>
        <v>9405000</v>
      </c>
      <c r="F24" s="10" t="n">
        <f aca="false">IF(C24="","",C24*비용_입력!$B$9)</f>
        <v>0</v>
      </c>
      <c r="G24" s="10" t="n">
        <f aca="false">IF(C24="","",비용_입력!$B$7+비용_입력!$B$8)</f>
        <v>4000000</v>
      </c>
      <c r="H24" s="10" t="n">
        <f aca="false">IF(C24="","",C24-SUM(D24:G24))</f>
        <v>11048000</v>
      </c>
      <c r="I24" s="10" t="n">
        <f aca="false">IF(H24="","",H24*12)</f>
        <v>132576000</v>
      </c>
      <c r="J24" s="15" t="n">
        <f aca="false">IFERROR(H24/C24,"")</f>
        <v>0.293673577884104</v>
      </c>
      <c r="K24" s="8" t="str">
        <f aca="false">IF(C24="","미확인","확인")</f>
        <v>확인</v>
      </c>
      <c r="L24" s="8" t="s">
        <v>210</v>
      </c>
      <c r="M24" s="8" t="str">
        <f aca="false">IF(K24="미확인","미확인",IF(ABS(H24-(C24-D24-E24-F24-G24))&lt;0.01,"일치","오류"))</f>
        <v>일치</v>
      </c>
    </row>
  </sheetData>
  <autoFilter ref="A1:M24"/>
  <mergeCells count="2">
    <mergeCell ref="A1:L1"/>
    <mergeCell ref="A2:L2"/>
  </mergeCells>
  <conditionalFormatting sqref="H5:H24">
    <cfRule type="cellIs" priority="2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42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5" t="s">
        <v>211</v>
      </c>
      <c r="B1" s="5"/>
      <c r="C1" s="5"/>
      <c r="D1" s="5"/>
      <c r="E1" s="5"/>
      <c r="F1" s="5"/>
      <c r="G1" s="5"/>
    </row>
    <row r="2" customFormat="false" ht="17.15" hidden="false" customHeight="false" outlineLevel="0" collapsed="false">
      <c r="A2" s="6" t="s">
        <v>18</v>
      </c>
      <c r="B2" s="6"/>
      <c r="C2" s="6"/>
      <c r="D2" s="6"/>
      <c r="E2" s="6"/>
      <c r="F2" s="6"/>
      <c r="G2" s="6"/>
    </row>
    <row r="4" customFormat="false" ht="17.15" hidden="false" customHeight="false" outlineLevel="0" collapsed="false">
      <c r="A4" s="7" t="s">
        <v>212</v>
      </c>
      <c r="B4" s="7" t="s">
        <v>213</v>
      </c>
      <c r="C4" s="7" t="s">
        <v>214</v>
      </c>
      <c r="D4" s="7" t="s">
        <v>215</v>
      </c>
      <c r="E4" s="7" t="s">
        <v>216</v>
      </c>
      <c r="F4" s="7" t="s">
        <v>217</v>
      </c>
      <c r="G4" s="7" t="s">
        <v>218</v>
      </c>
    </row>
    <row r="5" customFormat="false" ht="17.15" hidden="false" customHeight="false" outlineLevel="0" collapsed="false">
      <c r="A5" s="8" t="s">
        <v>219</v>
      </c>
      <c r="B5" s="10" t="n">
        <f aca="false">COUNTA(브랜드_매출비교!$B$5:$B$24)</f>
        <v>20</v>
      </c>
      <c r="C5" s="8" t="s">
        <v>220</v>
      </c>
      <c r="D5" s="8" t="s">
        <v>221</v>
      </c>
      <c r="E5" s="8" t="s">
        <v>222</v>
      </c>
      <c r="F5" s="8" t="s">
        <v>223</v>
      </c>
      <c r="G5" s="8"/>
    </row>
    <row r="6" customFormat="false" ht="17.15" hidden="false" customHeight="false" outlineLevel="0" collapsed="false">
      <c r="A6" s="8" t="s">
        <v>224</v>
      </c>
      <c r="B6" s="10" t="n">
        <f aca="false">COUNT(브랜드_매출비교!$D$5:$D$24)</f>
        <v>12</v>
      </c>
      <c r="C6" s="8" t="s">
        <v>225</v>
      </c>
      <c r="D6" s="8" t="s">
        <v>221</v>
      </c>
      <c r="E6" s="8" t="s">
        <v>226</v>
      </c>
      <c r="F6" s="8" t="s">
        <v>227</v>
      </c>
      <c r="G6" s="8"/>
    </row>
    <row r="7" customFormat="false" ht="17.15" hidden="false" customHeight="false" outlineLevel="0" collapsed="false">
      <c r="A7" s="8" t="s">
        <v>228</v>
      </c>
      <c r="B7" s="10" t="n">
        <f aca="false">COUNTBLANK(브랜드_매출비교!$D$5:$D$24)</f>
        <v>8</v>
      </c>
      <c r="C7" s="8" t="s">
        <v>229</v>
      </c>
      <c r="D7" s="8" t="s">
        <v>221</v>
      </c>
      <c r="E7" s="8" t="s">
        <v>230</v>
      </c>
      <c r="F7" s="8" t="s">
        <v>231</v>
      </c>
      <c r="G7" s="8"/>
    </row>
    <row r="8" customFormat="false" ht="17.15" hidden="false" customHeight="false" outlineLevel="0" collapsed="false">
      <c r="A8" s="8" t="s">
        <v>232</v>
      </c>
      <c r="B8" s="10" t="n">
        <f aca="false">COUNTIF(운영이익!$M$5:$M$24,"일치")</f>
        <v>12</v>
      </c>
      <c r="C8" s="8" t="s">
        <v>233</v>
      </c>
      <c r="D8" s="8" t="s">
        <v>221</v>
      </c>
      <c r="E8" s="8" t="s">
        <v>234</v>
      </c>
      <c r="F8" s="8" t="s">
        <v>235</v>
      </c>
      <c r="G8" s="8" t="s">
        <v>236</v>
      </c>
    </row>
    <row r="9" customFormat="false" ht="17.15" hidden="false" customHeight="false" outlineLevel="0" collapsed="false">
      <c r="A9" s="8" t="s">
        <v>237</v>
      </c>
      <c r="B9" s="10" t="n">
        <f aca="false">COUNTA(원천_지역!$B$5:$B$342)</f>
        <v>338</v>
      </c>
      <c r="C9" s="8" t="s">
        <v>238</v>
      </c>
      <c r="D9" s="8" t="s">
        <v>221</v>
      </c>
      <c r="E9" s="8" t="s">
        <v>239</v>
      </c>
      <c r="F9" s="8" t="s">
        <v>240</v>
      </c>
      <c r="G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</row>
    <row r="12" customFormat="false" ht="15" hidden="false" customHeight="false" outlineLevel="0" collapsed="false">
      <c r="A12" s="8" t="s">
        <v>241</v>
      </c>
      <c r="B12" s="8"/>
      <c r="C12" s="8"/>
      <c r="D12" s="8"/>
      <c r="E12" s="8"/>
      <c r="F12" s="8"/>
      <c r="G12" s="8"/>
    </row>
    <row r="13" customFormat="false" ht="17.15" hidden="false" customHeight="false" outlineLevel="0" collapsed="false">
      <c r="A13" s="9" t="s">
        <v>242</v>
      </c>
      <c r="B13" s="8" t="s">
        <v>243</v>
      </c>
      <c r="C13" s="8"/>
      <c r="D13" s="8"/>
      <c r="E13" s="8"/>
      <c r="F13" s="8"/>
      <c r="G13" s="8"/>
    </row>
    <row r="14" customFormat="false" ht="17.15" hidden="false" customHeight="false" outlineLevel="0" collapsed="false">
      <c r="A14" s="9" t="s">
        <v>242</v>
      </c>
      <c r="B14" s="8" t="s">
        <v>244</v>
      </c>
      <c r="C14" s="8"/>
      <c r="D14" s="8"/>
      <c r="E14" s="8"/>
      <c r="F14" s="8"/>
      <c r="G14" s="8"/>
    </row>
    <row r="15" customFormat="false" ht="17.15" hidden="false" customHeight="false" outlineLevel="0" collapsed="false">
      <c r="A15" s="9" t="s">
        <v>242</v>
      </c>
      <c r="B15" s="8" t="s">
        <v>245</v>
      </c>
      <c r="C15" s="8"/>
      <c r="D15" s="8"/>
      <c r="E15" s="8"/>
      <c r="F15" s="8"/>
      <c r="G15" s="8"/>
    </row>
    <row r="16" customFormat="false" ht="17.15" hidden="false" customHeight="false" outlineLevel="0" collapsed="false">
      <c r="A16" s="9" t="s">
        <v>242</v>
      </c>
      <c r="B16" s="8" t="s">
        <v>246</v>
      </c>
      <c r="C16" s="8"/>
      <c r="D16" s="8"/>
      <c r="E16" s="8"/>
      <c r="F16" s="8"/>
      <c r="G16" s="8"/>
    </row>
  </sheetData>
  <autoFilter ref="A1:G16"/>
  <mergeCells count="6">
    <mergeCell ref="A1:G1"/>
    <mergeCell ref="A2:G2"/>
    <mergeCell ref="B13:G13"/>
    <mergeCell ref="B14:G14"/>
    <mergeCell ref="B15:G15"/>
    <mergeCell ref="B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5" min="4" style="0" width="48"/>
  </cols>
  <sheetData>
    <row r="1" customFormat="false" ht="23.85" hidden="false" customHeight="false" outlineLevel="0" collapsed="false">
      <c r="A1" s="16" t="s">
        <v>247</v>
      </c>
      <c r="B1" s="16"/>
      <c r="C1" s="16"/>
      <c r="D1" s="16"/>
      <c r="E1" s="16"/>
    </row>
    <row r="2" customFormat="false" ht="17.15" hidden="false" customHeight="false" outlineLevel="0" collapsed="false">
      <c r="A2" s="6" t="s">
        <v>18</v>
      </c>
      <c r="B2" s="6"/>
      <c r="C2" s="6"/>
      <c r="D2" s="6"/>
      <c r="E2" s="6"/>
    </row>
    <row r="4" customFormat="false" ht="17.15" hidden="false" customHeight="false" outlineLevel="0" collapsed="false">
      <c r="A4" s="7" t="s">
        <v>248</v>
      </c>
      <c r="B4" s="7" t="s">
        <v>1</v>
      </c>
      <c r="C4" s="17" t="s">
        <v>249</v>
      </c>
      <c r="D4" s="7" t="s">
        <v>250</v>
      </c>
      <c r="E4" s="7" t="s">
        <v>251</v>
      </c>
    </row>
    <row r="5" customFormat="false" ht="150" hidden="false" customHeight="true" outlineLevel="0" collapsed="false">
      <c r="A5" s="9" t="s">
        <v>252</v>
      </c>
      <c r="B5" s="8" t="s">
        <v>253</v>
      </c>
      <c r="C5" s="18" t="s">
        <v>254</v>
      </c>
      <c r="D5" s="18" t="s">
        <v>255</v>
      </c>
      <c r="E5" s="9" t="s">
        <v>256</v>
      </c>
    </row>
    <row r="6" customFormat="false" ht="150" hidden="false" customHeight="true" outlineLevel="0" collapsed="false">
      <c r="A6" s="9" t="s">
        <v>257</v>
      </c>
      <c r="B6" s="8" t="s">
        <v>258</v>
      </c>
      <c r="C6" s="18" t="s">
        <v>259</v>
      </c>
      <c r="D6" s="9" t="s">
        <v>260</v>
      </c>
      <c r="E6" s="9" t="s">
        <v>261</v>
      </c>
    </row>
  </sheetData>
  <autoFilter ref="A1:E6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38"/>
    <col collapsed="false" customWidth="true" hidden="false" outlineLevel="0" max="10" min="10" style="0" width="30"/>
    <col collapsed="false" customWidth="true" hidden="false" outlineLevel="0" max="11" min="11" style="0" width="42"/>
  </cols>
  <sheetData>
    <row r="1" customFormat="false" ht="19.7" hidden="false" customHeight="false" outlineLevel="0" collapsed="false">
      <c r="A1" s="5" t="s">
        <v>262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7.15" hidden="false" customHeight="false" outlineLevel="0" collapsed="false">
      <c r="A2" s="6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32.8" hidden="false" customHeight="false" outlineLevel="0" collapsed="false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29</v>
      </c>
    </row>
    <row r="5" customFormat="false" ht="17.15" hidden="false" customHeight="false" outlineLevel="0" collapsed="false">
      <c r="A5" s="8" t="s">
        <v>30</v>
      </c>
      <c r="B5" s="9" t="s">
        <v>31</v>
      </c>
      <c r="C5" s="8" t="n">
        <v>2025</v>
      </c>
      <c r="D5" s="8" t="n">
        <v>28980000</v>
      </c>
      <c r="E5" s="8" t="n">
        <v>347760000</v>
      </c>
      <c r="F5" s="8"/>
      <c r="G5" s="8"/>
      <c r="H5" s="8"/>
      <c r="I5" s="8" t="s">
        <v>32</v>
      </c>
      <c r="J5" s="8" t="s">
        <v>33</v>
      </c>
      <c r="K5" s="8" t="s">
        <v>34</v>
      </c>
    </row>
    <row r="6" customFormat="false" ht="17.15" hidden="false" customHeight="false" outlineLevel="0" collapsed="false">
      <c r="A6" s="8" t="s">
        <v>30</v>
      </c>
      <c r="B6" s="9" t="s">
        <v>35</v>
      </c>
      <c r="C6" s="8" t="n">
        <v>2025</v>
      </c>
      <c r="D6" s="8" t="n">
        <v>6870000</v>
      </c>
      <c r="E6" s="8" t="n">
        <v>82440000</v>
      </c>
      <c r="F6" s="8"/>
      <c r="G6" s="8"/>
      <c r="H6" s="8"/>
      <c r="I6" s="8" t="s">
        <v>32</v>
      </c>
      <c r="J6" s="8" t="s">
        <v>33</v>
      </c>
      <c r="K6" s="8" t="s">
        <v>36</v>
      </c>
    </row>
    <row r="7" customFormat="false" ht="17.15" hidden="false" customHeight="false" outlineLevel="0" collapsed="false">
      <c r="A7" s="8" t="s">
        <v>30</v>
      </c>
      <c r="B7" s="9" t="s">
        <v>37</v>
      </c>
      <c r="C7" s="8" t="n">
        <v>2024</v>
      </c>
      <c r="D7" s="8" t="n">
        <v>42690000</v>
      </c>
      <c r="E7" s="8" t="n">
        <v>512280000</v>
      </c>
      <c r="F7" s="8"/>
      <c r="G7" s="8"/>
      <c r="H7" s="8"/>
      <c r="I7" s="8" t="s">
        <v>32</v>
      </c>
      <c r="J7" s="8" t="s">
        <v>33</v>
      </c>
      <c r="K7" s="8" t="s">
        <v>38</v>
      </c>
    </row>
    <row r="8" customFormat="false" ht="17.15" hidden="false" customHeight="false" outlineLevel="0" collapsed="false">
      <c r="A8" s="8" t="s">
        <v>30</v>
      </c>
      <c r="B8" s="9" t="s">
        <v>39</v>
      </c>
      <c r="C8" s="8" t="n">
        <v>2024</v>
      </c>
      <c r="D8" s="8" t="n">
        <v>45170000</v>
      </c>
      <c r="E8" s="8" t="n">
        <v>542040000</v>
      </c>
      <c r="F8" s="8"/>
      <c r="G8" s="8"/>
      <c r="H8" s="8"/>
      <c r="I8" s="8" t="s">
        <v>32</v>
      </c>
      <c r="J8" s="8" t="s">
        <v>33</v>
      </c>
      <c r="K8" s="8" t="s">
        <v>40</v>
      </c>
    </row>
    <row r="9" customFormat="false" ht="17.15" hidden="false" customHeight="false" outlineLevel="0" collapsed="false">
      <c r="A9" s="8" t="s">
        <v>30</v>
      </c>
      <c r="B9" s="9" t="s">
        <v>41</v>
      </c>
      <c r="C9" s="8" t="n">
        <v>2025</v>
      </c>
      <c r="D9" s="8" t="n">
        <v>36580000</v>
      </c>
      <c r="E9" s="8" t="n">
        <v>438960000</v>
      </c>
      <c r="F9" s="8"/>
      <c r="G9" s="8"/>
      <c r="H9" s="8"/>
      <c r="I9" s="8" t="s">
        <v>32</v>
      </c>
      <c r="J9" s="8" t="s">
        <v>33</v>
      </c>
      <c r="K9" s="8" t="s">
        <v>42</v>
      </c>
    </row>
    <row r="10" customFormat="false" ht="17.15" hidden="false" customHeight="false" outlineLevel="0" collapsed="false">
      <c r="A10" s="8" t="s">
        <v>43</v>
      </c>
      <c r="B10" s="9" t="s">
        <v>44</v>
      </c>
      <c r="C10" s="8" t="n">
        <v>2025</v>
      </c>
      <c r="D10" s="8" t="n">
        <v>53080000</v>
      </c>
      <c r="E10" s="8" t="n">
        <v>636960000</v>
      </c>
      <c r="F10" s="8" t="n">
        <v>2224</v>
      </c>
      <c r="G10" s="8" t="n">
        <v>2026</v>
      </c>
      <c r="H10" s="8" t="n">
        <v>278640000</v>
      </c>
      <c r="I10" s="8" t="s">
        <v>45</v>
      </c>
      <c r="J10" s="8" t="s">
        <v>46</v>
      </c>
      <c r="K10" s="8" t="s">
        <v>47</v>
      </c>
    </row>
    <row r="11" customFormat="false" ht="17.15" hidden="false" customHeight="false" outlineLevel="0" collapsed="false">
      <c r="A11" s="8" t="s">
        <v>43</v>
      </c>
      <c r="B11" s="8" t="s">
        <v>48</v>
      </c>
      <c r="C11" s="8" t="n">
        <v>2025</v>
      </c>
      <c r="D11" s="8" t="n">
        <v>65640000</v>
      </c>
      <c r="E11" s="8" t="n">
        <v>787680000</v>
      </c>
      <c r="F11" s="8" t="n">
        <v>1362</v>
      </c>
      <c r="G11" s="8" t="n">
        <v>2025</v>
      </c>
      <c r="H11" s="8" t="n">
        <v>469580000</v>
      </c>
      <c r="I11" s="8" t="s">
        <v>45</v>
      </c>
      <c r="J11" s="8" t="s">
        <v>49</v>
      </c>
      <c r="K11" s="8" t="s">
        <v>50</v>
      </c>
    </row>
    <row r="12" customFormat="false" ht="17.15" hidden="false" customHeight="false" outlineLevel="0" collapsed="false">
      <c r="A12" s="8" t="s">
        <v>43</v>
      </c>
      <c r="B12" s="8" t="s">
        <v>51</v>
      </c>
      <c r="C12" s="8" t="n">
        <v>2024</v>
      </c>
      <c r="D12" s="8" t="n">
        <v>41550000</v>
      </c>
      <c r="E12" s="8" t="n">
        <v>498600000</v>
      </c>
      <c r="F12" s="8" t="n">
        <v>1252</v>
      </c>
      <c r="G12" s="8" t="n">
        <v>2026</v>
      </c>
      <c r="H12" s="8" t="n">
        <v>166540000</v>
      </c>
      <c r="I12" s="8" t="s">
        <v>45</v>
      </c>
      <c r="J12" s="8" t="s">
        <v>52</v>
      </c>
      <c r="K12" s="8" t="s">
        <v>53</v>
      </c>
    </row>
    <row r="13" customFormat="false" ht="17.15" hidden="false" customHeight="false" outlineLevel="0" collapsed="false">
      <c r="A13" s="8" t="s">
        <v>43</v>
      </c>
      <c r="B13" s="8" t="s">
        <v>54</v>
      </c>
      <c r="C13" s="8" t="n">
        <v>2024</v>
      </c>
      <c r="D13" s="8" t="n">
        <v>42390000</v>
      </c>
      <c r="E13" s="8" t="n">
        <v>508680000</v>
      </c>
      <c r="F13" s="8" t="n">
        <v>2155</v>
      </c>
      <c r="G13" s="8" t="n">
        <v>2026</v>
      </c>
      <c r="H13" s="8" t="n">
        <v>181560000</v>
      </c>
      <c r="I13" s="8" t="s">
        <v>45</v>
      </c>
      <c r="J13" s="8" t="s">
        <v>55</v>
      </c>
      <c r="K13" s="8" t="s">
        <v>56</v>
      </c>
    </row>
    <row r="14" customFormat="false" ht="17.15" hidden="false" customHeight="false" outlineLevel="0" collapsed="false">
      <c r="A14" s="8" t="s">
        <v>43</v>
      </c>
      <c r="B14" s="8" t="s">
        <v>57</v>
      </c>
      <c r="C14" s="8" t="n">
        <v>2025</v>
      </c>
      <c r="D14" s="8" t="n">
        <v>28570000</v>
      </c>
      <c r="E14" s="8" t="n">
        <v>342840000</v>
      </c>
      <c r="F14" s="8" t="n">
        <v>1251</v>
      </c>
      <c r="G14" s="8" t="n">
        <v>2026</v>
      </c>
      <c r="H14" s="8" t="n">
        <v>58100000</v>
      </c>
      <c r="I14" s="8" t="s">
        <v>45</v>
      </c>
      <c r="J14" s="8" t="s">
        <v>58</v>
      </c>
      <c r="K14" s="8" t="s">
        <v>59</v>
      </c>
    </row>
    <row r="15" customFormat="false" ht="17.15" hidden="false" customHeight="false" outlineLevel="0" collapsed="false">
      <c r="A15" s="8" t="s">
        <v>60</v>
      </c>
      <c r="B15" s="8" t="s">
        <v>61</v>
      </c>
      <c r="C15" s="8"/>
      <c r="D15" s="8"/>
      <c r="E15" s="8"/>
      <c r="F15" s="8" t="n">
        <v>4016</v>
      </c>
      <c r="G15" s="8" t="n">
        <v>2025</v>
      </c>
      <c r="H15" s="8"/>
      <c r="I15" s="8" t="s">
        <v>32</v>
      </c>
      <c r="J15" s="8"/>
      <c r="K15" s="8" t="s">
        <v>62</v>
      </c>
    </row>
    <row r="16" customFormat="false" ht="17.15" hidden="false" customHeight="false" outlineLevel="0" collapsed="false">
      <c r="A16" s="8" t="s">
        <v>60</v>
      </c>
      <c r="B16" s="8" t="s">
        <v>61</v>
      </c>
      <c r="C16" s="8"/>
      <c r="D16" s="8"/>
      <c r="E16" s="8"/>
      <c r="F16" s="8"/>
      <c r="G16" s="8"/>
      <c r="H16" s="8"/>
      <c r="I16" s="8" t="s">
        <v>32</v>
      </c>
      <c r="J16" s="8"/>
      <c r="K16" s="8" t="s">
        <v>63</v>
      </c>
    </row>
    <row r="17" customFormat="false" ht="17.15" hidden="false" customHeight="false" outlineLevel="0" collapsed="false">
      <c r="A17" s="8" t="s">
        <v>60</v>
      </c>
      <c r="B17" s="8" t="s">
        <v>64</v>
      </c>
      <c r="C17" s="8"/>
      <c r="D17" s="8"/>
      <c r="E17" s="8"/>
      <c r="F17" s="8" t="n">
        <v>2649</v>
      </c>
      <c r="G17" s="8" t="n">
        <v>2024</v>
      </c>
      <c r="H17" s="8"/>
      <c r="I17" s="8" t="s">
        <v>32</v>
      </c>
      <c r="J17" s="8"/>
      <c r="K17" s="8" t="s">
        <v>65</v>
      </c>
    </row>
    <row r="18" customFormat="false" ht="17.15" hidden="false" customHeight="false" outlineLevel="0" collapsed="false">
      <c r="A18" s="8" t="s">
        <v>60</v>
      </c>
      <c r="B18" s="8" t="s">
        <v>66</v>
      </c>
      <c r="C18" s="8"/>
      <c r="D18" s="8"/>
      <c r="E18" s="8"/>
      <c r="F18" s="8" t="n">
        <v>2581</v>
      </c>
      <c r="G18" s="8" t="n">
        <v>2024</v>
      </c>
      <c r="H18" s="8"/>
      <c r="I18" s="8" t="s">
        <v>32</v>
      </c>
      <c r="J18" s="8"/>
      <c r="K18" s="8" t="s">
        <v>67</v>
      </c>
    </row>
    <row r="19" customFormat="false" ht="17.15" hidden="false" customHeight="false" outlineLevel="0" collapsed="false">
      <c r="A19" s="8" t="s">
        <v>60</v>
      </c>
      <c r="B19" s="8" t="s">
        <v>68</v>
      </c>
      <c r="C19" s="8"/>
      <c r="D19" s="8"/>
      <c r="E19" s="8"/>
      <c r="F19" s="8" t="n">
        <v>1715</v>
      </c>
      <c r="G19" s="8" t="n">
        <v>2024</v>
      </c>
      <c r="H19" s="8"/>
      <c r="I19" s="8" t="s">
        <v>32</v>
      </c>
      <c r="J19" s="8"/>
      <c r="K19" s="8" t="s">
        <v>69</v>
      </c>
    </row>
    <row r="20" customFormat="false" ht="17.15" hidden="false" customHeight="false" outlineLevel="0" collapsed="false">
      <c r="A20" s="8" t="s">
        <v>60</v>
      </c>
      <c r="B20" s="8" t="s">
        <v>70</v>
      </c>
      <c r="C20" s="8"/>
      <c r="D20" s="8"/>
      <c r="E20" s="8"/>
      <c r="F20" s="8" t="n">
        <v>1670</v>
      </c>
      <c r="G20" s="8" t="n">
        <v>2024</v>
      </c>
      <c r="H20" s="8"/>
      <c r="I20" s="8" t="s">
        <v>32</v>
      </c>
      <c r="J20" s="8"/>
      <c r="K20" s="8" t="s">
        <v>71</v>
      </c>
    </row>
    <row r="21" customFormat="false" ht="17.15" hidden="false" customHeight="false" outlineLevel="0" collapsed="false">
      <c r="A21" s="8" t="s">
        <v>72</v>
      </c>
      <c r="B21" s="9" t="s">
        <v>73</v>
      </c>
      <c r="C21" s="8"/>
      <c r="D21" s="8"/>
      <c r="E21" s="8"/>
      <c r="F21" s="8" t="n">
        <v>18468</v>
      </c>
      <c r="G21" s="8" t="n">
        <v>2026</v>
      </c>
      <c r="H21" s="8" t="n">
        <v>48440000</v>
      </c>
      <c r="I21" s="8" t="s">
        <v>45</v>
      </c>
      <c r="J21" s="8"/>
      <c r="K21" s="8" t="s">
        <v>74</v>
      </c>
    </row>
    <row r="22" customFormat="false" ht="17.15" hidden="false" customHeight="false" outlineLevel="0" collapsed="false">
      <c r="A22" s="8" t="s">
        <v>72</v>
      </c>
      <c r="B22" s="9" t="s">
        <v>75</v>
      </c>
      <c r="C22" s="8"/>
      <c r="D22" s="8"/>
      <c r="E22" s="8"/>
      <c r="F22" s="8" t="n">
        <v>18005</v>
      </c>
      <c r="G22" s="8" t="n">
        <v>2025</v>
      </c>
      <c r="H22" s="8" t="n">
        <v>45400000</v>
      </c>
      <c r="I22" s="8" t="s">
        <v>45</v>
      </c>
      <c r="J22" s="8"/>
      <c r="K22" s="8" t="s">
        <v>76</v>
      </c>
    </row>
    <row r="23" customFormat="false" ht="17.15" hidden="false" customHeight="false" outlineLevel="0" collapsed="false">
      <c r="A23" s="8" t="s">
        <v>72</v>
      </c>
      <c r="B23" s="8" t="s">
        <v>77</v>
      </c>
      <c r="C23" s="8" t="n">
        <v>2024</v>
      </c>
      <c r="D23" s="8" t="n">
        <v>42600000</v>
      </c>
      <c r="E23" s="8" t="n">
        <v>511200000</v>
      </c>
      <c r="F23" s="8" t="n">
        <v>7568</v>
      </c>
      <c r="G23" s="8" t="n">
        <v>2026</v>
      </c>
      <c r="H23" s="8" t="n">
        <v>148020000</v>
      </c>
      <c r="I23" s="8" t="s">
        <v>45</v>
      </c>
      <c r="J23" s="8" t="s">
        <v>58</v>
      </c>
      <c r="K23" s="8" t="s">
        <v>78</v>
      </c>
    </row>
    <row r="24" customFormat="false" ht="17.15" hidden="false" customHeight="false" outlineLevel="0" collapsed="false">
      <c r="A24" s="8" t="s">
        <v>72</v>
      </c>
      <c r="B24" s="8" t="s">
        <v>79</v>
      </c>
      <c r="C24" s="8" t="n">
        <v>2024</v>
      </c>
      <c r="D24" s="8" t="n">
        <v>37620000</v>
      </c>
      <c r="E24" s="8" t="n">
        <v>451440000</v>
      </c>
      <c r="F24" s="8" t="n">
        <v>5595</v>
      </c>
      <c r="G24" s="8" t="n">
        <v>2026</v>
      </c>
      <c r="H24" s="8" t="n">
        <v>148400000</v>
      </c>
      <c r="I24" s="8" t="s">
        <v>45</v>
      </c>
      <c r="J24" s="8" t="s">
        <v>58</v>
      </c>
      <c r="K24" s="8" t="s">
        <v>80</v>
      </c>
    </row>
  </sheetData>
  <autoFilter ref="A1:K24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2026-10-17T11:54:16Z</dcterms:created>
  <dc:creator>openpyxl</dc:creator>
  <dc:description/>
  <dc:language>en-US</dc:language>
  <cp:lastModifiedBy/>
  <dcterms:modified xsi:type="dcterms:W3CDTF">2026-10-17T11:54:16Z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